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Planetary Mapping Winter School\2026\Day2\Working Test\"/>
    </mc:Choice>
  </mc:AlternateContent>
  <xr:revisionPtr revIDLastSave="0" documentId="13_ncr:2001_{8D6BC5E5-694B-4972-BB99-61CF1D202BC1}" xr6:coauthVersionLast="47" xr6:coauthVersionMax="47" xr10:uidLastSave="{00000000-0000-0000-0000-000000000000}"/>
  <bookViews>
    <workbookView xWindow="44880" yWindow="2775" windowWidth="29040" windowHeight="15840" xr2:uid="{B1D743AD-04BF-467D-A99D-2A39AAA4A811}"/>
  </bookViews>
  <sheets>
    <sheet name="Pits Bounding Box Properties" sheetId="1" r:id="rId1"/>
    <sheet name="Sheet2" sheetId="2" r:id="rId2"/>
    <sheet name="Summary Collapsed Vs Non Collap" sheetId="4" r:id="rId3"/>
    <sheet name="Lava Tube Proj Attributes" sheetId="3" r:id="rId4"/>
  </sheets>
  <definedNames>
    <definedName name="_xlnm._FilterDatabase" localSheetId="3" hidden="1">'Lava Tube Proj Attributes'!$B$3:$F$3</definedName>
    <definedName name="_xlnm._FilterDatabase" localSheetId="0" hidden="1">'Pits Bounding Box Properties'!$B$2:$K$2</definedName>
    <definedName name="_xlnm._FilterDatabase" localSheetId="2" hidden="1">'Summary Collapsed Vs Non Collap'!#REF!</definedName>
    <definedName name="_xlchart.v1.0" hidden="1">'Pits Bounding Box Properties'!$E$3:$E$171</definedName>
    <definedName name="_xlchart.v1.1" hidden="1">'Pits Bounding Box Properties'!$G$2</definedName>
    <definedName name="_xlchart.v1.2" hidden="1">'Pits Bounding Box Properties'!$G$3:$G$171</definedName>
    <definedName name="_xlchart.v1.3" hidden="1">'Pits Bounding Box Properties'!$E$3:$E$171</definedName>
    <definedName name="_xlchart.v1.4" hidden="1">'Pits Bounding Box Properties'!$G$2</definedName>
    <definedName name="_xlchart.v1.5" hidden="1">'Pits Bounding Box Properties'!$G$3:$G$171</definedName>
  </definedNames>
  <calcPr calcId="181029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4" l="1"/>
  <c r="E14" i="4"/>
  <c r="E13" i="4"/>
  <c r="E12" i="4"/>
  <c r="E11" i="4"/>
  <c r="E10" i="4"/>
  <c r="E9" i="4"/>
  <c r="E8" i="4"/>
  <c r="E7" i="4"/>
  <c r="E6" i="4"/>
  <c r="E5" i="4"/>
</calcChain>
</file>

<file path=xl/sharedStrings.xml><?xml version="1.0" encoding="utf-8"?>
<sst xmlns="http://schemas.openxmlformats.org/spreadsheetml/2006/main" count="1498" uniqueCount="517">
  <si>
    <t>wkt_geom</t>
  </si>
  <si>
    <t>fid</t>
  </si>
  <si>
    <t>id</t>
  </si>
  <si>
    <t>Type</t>
  </si>
  <si>
    <t>Tube Seq</t>
  </si>
  <si>
    <t>width</t>
  </si>
  <si>
    <t>height</t>
  </si>
  <si>
    <t>angle</t>
  </si>
  <si>
    <t>area</t>
  </si>
  <si>
    <t>perimeter</t>
  </si>
  <si>
    <t>Polygon ((-7109621.89687836077064276 -801277.39523434406146407, -7108780.0145373810082674 -800691.98036147700622678, -7111922.47448713611811399 -796172.82367182755842805, -7112764.35682811588048935 -796758.23854469554498792, -7109621.89687836077064276 -801277.39523434406146407))</t>
  </si>
  <si>
    <t>Vent</t>
  </si>
  <si>
    <t>L1</t>
  </si>
  <si>
    <t>Polygon ((-7107589.22908657882362604 -802197.15449077542871237, -7107579.46505124773830175 -801904.23343084193766117, -7108056.28767888341099024 -801888.33934325445443392, -7108066.05171421449631453 -802181.26040318794548512, -7107589.22908657882362604 -802197.15449077542871237))</t>
  </si>
  <si>
    <t>Elongated</t>
  </si>
  <si>
    <t>Polygon ((-7107173.18696709722280502 -802278.08708688523620367, -7107112.97729829885065556 -802579.13543090131133795, -7106750.44725021813064814 -802506.62942129001021385, -7106810.65691901743412018 -802205.58107727393507957, -7107173.18696709722280502 -802278.08708688523620367))</t>
  </si>
  <si>
    <t>Polygon ((-7104534.6558718029409647 -804097.91068252827972174, -7104368.56543072685599327 -803727.40123705193400383, -7105130.63419619854539633 -803385.78420425392687321, -7105296.72463727369904518 -803756.29364973027259111, -7104534.6558718029409647 -804097.91068252827972174))</t>
  </si>
  <si>
    <t>Polygon ((-7104219.30206711404025555 -803796.09018765762448311, -7104547.0669110668823123 -804142.58445126190781593, -7103885.84232361428439617 -804768.0671691270545125, -7103558.07747966144233942 -804421.57290552277117968, -7104219.30206711404025555 -803796.09018765762448311))</t>
  </si>
  <si>
    <t>Polygon ((-7103839.79594360012561083 -805439.59113987302407622, -7103492.98149124532938004 -805331.21162351407110691, -7103668.74266166519373655 -804768.77587815886363387, -7104015.55711401998996735 -804877.15539451781660318, -7103839.79594360012561083 -805439.59113987302407622))</t>
  </si>
  <si>
    <t>Polygon ((-7105160.01305473502725363 -807356.82100053131580353, -7104774.11749486345797777 -807611.60146670043468475, -7103529.75819010380655527 -805726.87012206111103296, -7103915.65374997537583113 -805472.08965589152649045, -7105160.01305473502725363 -807356.82100053131580353))</t>
  </si>
  <si>
    <t>Polygon ((-7106062.48818237893283367 -808561.94125355500727892, -7105717.97863376885652542 -808906.45080216508358717, -7104949.03332126885652542 -808137.50548966228961945, -7105293.54286987986415625 -807792.9959410522133112, -7106062.48818237893283367 -808561.94125355500727892))</t>
  </si>
  <si>
    <t>Polygon ((-7105939.79456855729222298 -810890.980537133757025, -7106496.12282775528728962 -810922.7707233764231205, -7106463.61503008473664522 -811491.65718255750834942, -7105907.28677088674157858 -811459.86699631484225392, -7105939.79456855729222298 -810890.980537133757025))</t>
  </si>
  <si>
    <t>Circular</t>
  </si>
  <si>
    <t>Polygon ((-7106116.56687044072896242 -811995.26754860486835241, -7105939.98518765531480312 -811589.12967819813638926, -7106380.99246331490576267 -811397.38738443236798048, -7106557.57414610031992197 -811803.52525483909994364, -7106116.56687044072896242 -811995.26754860486835241))</t>
  </si>
  <si>
    <t>Polygon ((-7106475.94485079683363438 -812499.46499501401558518, -7105968.95894779823720455 -812395.46788670774549246, -7106082.69361306261271238 -811841.01139354053884745, -7106589.67951606120914221 -811945.00850184727460146, -7106475.94485079683363438 -812499.46499501401558518))</t>
  </si>
  <si>
    <t>Polygon ((-7106319.69141926895827055 -812416.02472404949367046, -7106571.57731959130614996 -812529.37337919604033232, -7106452.14352281205356121 -812794.78181647974997759, -7106200.2576224897056818 -812681.43316133320331573, -7106319.69141926895827055 -812416.02472404949367046))</t>
  </si>
  <si>
    <t>Polygon ((-7106404.66566635295748711 -813790.85418091062456369, -7106561.97402639593929052 -813880.74467236362397671, -7106452.57899434585124254 -814072.18597845267504454, -7106295.27063430286943913 -813982.29548699967563152, -7106404.66566635295748711 -813790.85418091062456369))</t>
  </si>
  <si>
    <t>Polygon ((-7106767.68092375714331865 -814834.6334201330319047, -7106661.70421325415372849 -814667.30177196953445673, -7106853.23075881972908974 -814546.00162644498050213, -7106959.20746932365000248 -814713.3332746084779501, -7106767.68092375714331865 -814834.6334201330319047))</t>
  </si>
  <si>
    <t>ATP</t>
  </si>
  <si>
    <t>Polygon ((-7106840.42945208307355642 -815004.2078782869502902, -7106793.8393742498010397 -814802.31754101254045963, -7107018.47508352063596249 -814750.4785311808809638, -7107065.06516135297715664 -814952.36886845529079437, -7106840.42945208307355642 -815004.2078782869502902))</t>
  </si>
  <si>
    <t>Polygon ((-7106988.56345973256975412 -815046.68650042568333447, -7107222.09051766060292721 -815072.63395130424760282, -7107196.47917365841567516 -815303.13604734279215336, -7106962.95211573038250208 -815277.18859646422788501, -7106988.56345973256975412 -815046.68650042568333447))</t>
  </si>
  <si>
    <t>Polygon ((-7109289.88911972567439079 -818790.14290696987882257, -7108936.05859173741191626 -819007.88477034354582429, -7108439.16049327049404383 -818200.42536031967028975, -7108792.99102125782519579 -817982.68349694600328803, -7109289.88911972567439079 -818790.14290696987882257))</t>
  </si>
  <si>
    <t>Polygon ((-7111954.53569680172950029 -844896.06516689341515303, -7110928.78043347876518965 -844686.93059864314273, -7111896.70348683465272188 -839939.49847980076447129, -7112922.45875015761703253 -840148.63304805103689432, -7111954.53569680172950029 -844896.06516689341515303))</t>
  </si>
  <si>
    <t>L2</t>
  </si>
  <si>
    <t>Polygon ((-7110916.58286246191710234 -846042.06018637400120497, -7111301.11064024176448584 -845753.66435304190963507, -7111574.95439024269580841 -846118.78935304749757051, -7111190.42661246284842491 -846407.18518637958914042, -7110916.58286246191710234 -846042.06018637400120497))</t>
  </si>
  <si>
    <t>Polygon ((-7110917.5681792926043272 -847109.80634037405252457, -7110856.57534997351467609 -846940.38181448448449373, -7111019.85140516422688961 -846881.60243461653590202, -7111080.84423448424786329 -847051.02696050610393286, -7110917.5681792926043272 -847109.80634037405252457))</t>
  </si>
  <si>
    <t>Polygon ((-7110767.63664919603615999 -848118.25606150925159454, -7110345.85650465916842222 -847911.06581507250666618, -7110623.44321550708264112 -847345.97858226811513305, -7111045.22336004395037889 -847553.16882870486006141, -7110767.63664919603615999 -848118.25606150925159454))</t>
  </si>
  <si>
    <t>Polygon ((-7110327.3761316929012537 -848529.48272911179810762, -7110242.02256598882377148 -848216.51965485885739326, -7110626.81323105469346046 -848111.5767462057992816, -7110712.16679675877094269 -848424.53982045873999596, -7110327.3761316929012537 -848529.48272911179810762))</t>
  </si>
  <si>
    <t>Polygon ((-7110255.14107593055814505 -849665.55913428857456893, -7109946.87419037614017725 -849638.75331815367098898, -7109977.14449277892708778 -849290.64484052371699363, -7110285.41137833334505558 -849317.45065665838774294, -7110255.14107593055814505 -849665.55913428857456893))</t>
  </si>
  <si>
    <t>Polygon ((-7109917.22956385370343924 -850198.77459610160440207, -7109917.22956385277211666 -849837.72858915850520134, -7110203.86150829866528511 -849837.72858915757387877, -7110203.86150829959660769 -850198.77459610067307949, -7109917.22956385370343924 -850198.77459610160440207))</t>
  </si>
  <si>
    <t>Polygon ((-7110130.20253522042185068 -850864.65020255232229829, -7109757.79243247956037521 -850724.99641402484849095, -7109917.94689880404621363 -850297.91783715924248099, -7110290.35700154490768909 -850437.57162568671628833, -7110130.20253522042185068 -850864.65020255232229829))</t>
  </si>
  <si>
    <t>Polygon ((-7109998.36736122891306877 -850985.899097615852952, -7110172.80243754759430885 -851052.35055526252835989, -7110104.16794909723103046 -851232.51608743891119957, -7109929.73287277854979038 -851166.0646297917701304, -7109998.36736122891306877 -850985.899097615852952))</t>
  </si>
  <si>
    <t>Polygon ((-7109822.15595274325460196 -851424.47893637791275978, -7110057.17209857795387506 -851467.20914471102878451, -7110004.69640413392335176 -851755.82546415645629168, -7109769.68025829922407866 -851713.09525582334026694, -7109822.15595274325460196 -851424.47893637791275978))</t>
  </si>
  <si>
    <t>Polygon ((-7109929.11709333211183548 -851940.62527416832745075, -7109973.5471247797831893 -852177.58544188272207975, -7109727.43470339756458998 -852223.73152089305222034, -7109683.00467194989323616 -851986.77135317865759134, -7109929.11709333211183548 -851940.62527416832745075))</t>
  </si>
  <si>
    <t>Polygon ((-7109682.83337308093905449 -852680.31335222814232111, -7109844.4367227591574192 -852818.83050908800214529, -7109670.31754384189844131 -853021.96955116745084524, -7109508.7141941636800766 -852883.45239430759102106, -7109682.83337308093905449 -852680.31335222814232111))</t>
  </si>
  <si>
    <t>Polygon ((-7109554.06439337600022554 -853488.13219333719462156, -7109368.54500957857817411 -853360.035475954413414, -7109524.96107310429215431 -853133.50186670944094658, -7109710.48045690171420574 -853261.59858409222215414, -7109554.06439337600022554 -853488.13219333719462156))</t>
  </si>
  <si>
    <t>Polygon ((-7109305.83521605841815472 -853786.16318072285503149, -7109414.48713473230600357 -853541.6963637126609683, -7109665.602630864828825 -853653.30325088649988174, -7109556.95071219094097614 -853897.77006789576262236, -7109305.83521605841815472 -853786.16318072285503149))</t>
  </si>
  <si>
    <t>Polygon ((-7109311.155911885201931 -854207.87601534742861986, -7109654.99433272238820791 -854292.11642845347523689, -7109456.09026079345494509 -855103.96978326141834259, -7109112.25183995626866817 -855019.72937015630304813, -7109311.155911885201931 -854207.87601534742861986))</t>
  </si>
  <si>
    <t>Polygon ((-7109279.39957190118730068 -855435.30025337170809507, -7109134.50959929637610912 -855257.69319017883390188, -7109330.40646671690046787 -855097.88258780911564827, -7109475.29643932171165943 -855275.48965100198984146, -7109279.39957190118730068 -855435.30025337170809507))</t>
  </si>
  <si>
    <t>Polygon ((-7109375.95329025946557522 -855535.33648738637566566, -7109352.16457171924412251 -855862.43136720079928637, -7109054.6787072392180562 -855840.79603159427642822, -7109078.46742577943950891 -855513.70115177985280752, -7109375.95329025946557522 -855535.33648738637566566))</t>
  </si>
  <si>
    <t>Polygon ((-7109423.90815713163465261 -856406.71117462078109384, -7109106.42488879431039095 -856517.14013752015307546, -7108983.91194847319275141 -856164.91543409461155534, -7109301.39521681051701307 -856054.48647119523957372, -7109423.90815713163465261 -856406.71117462078109384))</t>
  </si>
  <si>
    <t>Polygon ((-7109157.93051871377974749 -857469.30410999187733978, -7109356.36801871191710234 -857469.30410999280866235, -7109356.36801871098577976 -857636.04673152172472328, -7109157.93051871284842491 -857636.0467315207934007, -7109157.93051871377974749 -857469.30410999187733978))</t>
  </si>
  <si>
    <t>Polygon ((-7109367.57245228812098503 -858125.24911324307322502, -7109127.11920936964452267 -858046.84044707845896482, -7109205.85457831062376499 -857805.38531564921140671, -7109446.30782122910022736 -857883.79398181429132819, -7109367.57245228812098503 -858125.24911324307322502))</t>
  </si>
  <si>
    <t>Polygon ((-7109004.01982093416154385 -859367.14462206698954105, -7109424.59513930231332779 -859310.02945537457708269, -7109520.94252956286072731 -860019.49660183524247259, -7109100.36721119470894337 -860076.61176852765493095, -7109004.01982093416154385 -859367.14462206698954105))</t>
  </si>
  <si>
    <t>Polygon ((-7109007.11742173135280609 -860651.78133528865873814, -7109315.37013871408998966 -860718.7927955025807023, -7109255.1742464667186141 -860995.69389984477311373, -7108946.92152948305010796 -860928.68243963131681085, -7109007.11742173135280609 -860651.78133528865873814))</t>
  </si>
  <si>
    <t>Polygon ((-7109001.54512692801654339 -860967.52867375686764717, -7109217.43192584905773401 -861085.28510952834039927, -7109098.41155695542693138 -861303.4891191734932363, -7108882.52475803345441818 -861185.73268340202048421, -7109001.54512692801654339 -860967.52867375686764717))</t>
  </si>
  <si>
    <t>Polygon ((-7108773.33065893966704607 -861644.39942917414009571, -7109028.41612902469933033 -861676.28511293651536107, -7109000.68576043285429478 -861898.12806165451183915, -7108745.60029034875333309 -861866.24237789213657379, -7108773.33065893966704607 -861644.39942917414009571))</t>
  </si>
  <si>
    <t>Polygon ((-7108883.7911673728376627 -862323.95911257714033127, -7108967.01495515555143356 -862587.50110722612589598, -7108683.42371967434883118 -862677.05623421911150217, -7108600.19993189163506031 -862413.51423957012593746, -7108883.7911673728376627 -862323.95911257714033127))</t>
  </si>
  <si>
    <t>Polygon ((-7108594.23764595482498407 -864218.19678366743028164, -7108318.55475583206862211 -864185.76350247673690319, -7108364.83426379505544901 -863792.38768478715792298, -7108640.51715391781181097 -863824.82096597785130143, -7108594.23764595482498407 -864218.19678366743028164))</t>
  </si>
  <si>
    <t>Polygon ((-7108595.96654301974922419 -864514.66218291618861258, -7108373.55117843858897686 -864588.80063777812756598, -7108283.97869579866528511 -864320.08318986231461167, -7108506.39406037982553244 -864245.94473500037565827, -7108595.96654301974922419 -864514.66218291618861258))</t>
  </si>
  <si>
    <t>Polygon ((-7108282.04424217902123928 -864755.14804834872484207, -7108342.46991697698831558 -864543.65818658284842968, -7108541.94744580052793026 -864600.65176625363528728, -7108481.52177100256085396 -864812.14162801951169968, -7108282.04424217902123928 -864755.14804834872484207))</t>
  </si>
  <si>
    <t>Polygon ((-7108628.59962987713515759 -865159.23562131403014064, -7108435.01168190781027079 -865329.35836347239091992, -7108240.37271205894649029 -865107.872639165725559, -7108433.96066002827137709 -864937.74989700736477971, -7108628.59962987713515759 -865159.23562131403014064))</t>
  </si>
  <si>
    <t>Polygon ((-7108467.52821242064237595 -866111.35910124063957483, -7108659.32630888652056456 -866050.33243418077472597, -7108722.81431245896965265 -866249.86615968483965844, -7108531.01621599309146404 -866310.89282674470450729, -7108467.52821242064237595 -866111.35910124063957483))</t>
  </si>
  <si>
    <t>Polygon ((-7108494.68475652486085892 -866343.58862615004181862, -7108752.96274268068373203 -866295.75936944782733917, -7108810.00328917242586613 -866603.77832045801915228, -7108551.72530301660299301 -866651.60757716023363173, -7108494.68475652486085892 -866343.58862615004181862))</t>
  </si>
  <si>
    <t>Polygon ((-7108836.74421034380793571 -866823.9421711890026927, -7108844.15594268962740898 -867083.35280324332416058, -7108614.25061455741524696 -867089.92152690608054399, -7108606.8388822115957737 -866830.51089485175907612, -7108836.74421034380793571 -866823.9421711890026927))</t>
  </si>
  <si>
    <t>Polygon ((-7108828.2806070214137435 -867386.11456402332987636, -7108612.07061772793531418 -867364.05232021713163704, -7108632.63894543703645468 -867162.48270867287646979, -7108848.84893473144620657 -867184.54495247884187847, -7108828.2806070214137435 -867386.11456402332987636))</t>
  </si>
  <si>
    <t>Polygon ((-7108490.99986029602587223 -867991.05586367473006248, -7108585.95226777065545321 -867857.00540606398135424, -7108736.44359725061804056 -867963.60343111213296652, -7108641.49118977598845959 -868097.65388872288167477, -7108490.99986029602587223 -867991.05586367473006248))</t>
  </si>
  <si>
    <t>Polygon ((-7108669.56251225806772709 -868185.62124683428555727, -7108613.13153641484677792 -868343.62797917425632477, -7108478.1710899006575346 -868295.42781969904899597, -7108534.60206574387848377 -868137.42108735907822847, -7108669.56251225806772709 -868185.62124683428555727))</t>
  </si>
  <si>
    <t>Polygon ((-7108542.40367915667593479 -870843.81045067543163896, -7108265.44068033993244171 -870817.84516953257843852, -7108294.31945172231644392 -870509.8049415023997426, -7108571.282450539059937 -870535.77022264525294304, -7108542.40367915667593479 -870843.81045067543163896))</t>
  </si>
  <si>
    <t>Polygon ((-7108453.20178607478737831 -871141.92346764309331775, -7108373.82678607292473316 -871201.4547176412306726, -7108314.29553607478737831 -871122.07971764076501131, -7108393.67053607665002346 -871062.54846764262765646, -7108453.20178607478737831 -871141.92346764309331775))</t>
  </si>
  <si>
    <t>Polygon ((-7108284.08893885463476181 -871427.67346763983368874, -7108352.88060552161186934 -871335.95124541781842709, -7108453.42227218858897686 -871411.35749541968107224, -7108384.63060552161186934 -871503.07971764169633389, -7108284.08893885463476181 -871427.67346763983368874))</t>
  </si>
  <si>
    <t>Polygon ((-7108281.1577705517411232 -872089.75434999633580446, -7108107.46659408137202263 -871948.63026911392807961, -7108249.09649604186415672 -871774.31654362380504608, -7108422.78767251223325729 -871915.44062450621277094, -7108281.1577705517411232 -872089.75434999633580446))</t>
  </si>
  <si>
    <t>Polygon ((-7108050.61505535151809454 -872321.43862868193536997, -7108043.74387180339545012 -872204.62850835174322128, -7108168.30902087036520243 -872197.30114664230495691, -7108175.18020441848784685 -872314.1112669724971056, -7108050.61505535151809454 -872321.43862868193536997))</t>
  </si>
  <si>
    <t>Polygon ((-7108653.18973005190491676 -872676.39220894407480955, -7108620.39509599003940821 -872815.13873767387121916, -7108452.17649804707616568 -872775.37797816284000874, -7108484.97113210894167423 -872636.63144943304359913, -7108653.18973005190491676 -872676.39220894407480955))</t>
  </si>
  <si>
    <t>Polygon ((-7108084.43876523897051811 -873144.48857180681079626, -7108084.43876524083316326 -873345.68214819673448801, -7107872.22088329680263996 -873345.68214819859713316, -7107872.22088329493999481 -873144.48857180867344141, -7108084.43876523897051811 -873144.48857180681079626))</t>
  </si>
  <si>
    <t>Polygon ((-7108017.18301879148930311 -873428.24596599116921425, -7108003.98877074010670185 -873705.32517507951706648, -7107666.87136819027364254 -873689.27196543570607901, -7107680.0656162416562438 -873412.19275634735822678, -7108017.18301879148930311 -873428.24596599116921425))</t>
  </si>
  <si>
    <t>Polygon ((-7107906.80412982497364283 -874067.04655792284756899, -7107631.16341802012175322 -874016.93006486538797617, -7107679.29553607758134604 -873752.20341556053608656, -7107954.93624788243323565 -873802.31990861799567938, -7107906.80412982497364283 -874067.04655792284756899))</t>
  </si>
  <si>
    <t>Polygon ((-7107717.31165677402168512 -874456.29596005904022604, -7108018.62543442193418741 -874339.11837986309546977, -7108150.18190108705312014 -874677.4064370027044788, -7107848.86812343914061785 -874794.58401719864923507, -7107717.31165677402168512 -874456.29596005904022604))</t>
  </si>
  <si>
    <t>Polygon ((-7107775.43576224893331528 -874816.8141756592085585, -7108154.84790127258747816 -874789.45272332592867315, -7108234.2791014276444912 -875890.89869881048798561, -7107854.86696240399032831 -875918.26015114388428628, -7107775.43576224893331528 -874816.8141756592085585))</t>
  </si>
  <si>
    <t>Polygon ((-7108230.20349914487451315 -876253.54273694090079516, -7108020.51242705713957548 -876308.24475574784446508, -7107935.78137063980102539 -875983.44237282068934292, -7108145.47244272753596306 -875928.740354013745673, -7108230.20349914487451315 -876253.54273694090079516))</t>
  </si>
  <si>
    <t>Polygon ((-7108187.05993333831429482 -876430.06009610556066036, -7108279.29607374407351017 -876712.91759334597736597, -7108002.34159530699253082 -876803.22883631661534309, -7107910.10545490123331547 -876520.37133907619863749, -7108187.05993333831429482 -876430.06009610556066036))</t>
  </si>
  <si>
    <t>Polygon ((-7108300.68048127926886082 -878720.6891609902959317, -7108033.57947266660630703 -878733.52467856626026332, -7107944.18441217765212059 -876873.25603881722781807, -7108211.28542079031467438 -876860.42052124114707112, -7108300.68048127926886082 -878720.6891609902959317))</t>
  </si>
  <si>
    <t>Polygon ((-7108492.5231251697987318 -879076.58152603032067418, -7108287.68521142471581697 -879242.02753328764811158, -7108024.04935645498335361 -878915.62123666144907475, -7108228.88727020099759102 -878750.17522940412163734, -7108492.5231251697987318 -879076.58152603032067418))</t>
  </si>
  <si>
    <t>Polygon ((-7108660.63521584402769804 -879726.17516472144052386, -7108452.93270005192607641 -879804.27131065959110856, -7108251.76539555750787258 -879269.25188381550833583, -7108459.46791135054081678 -879191.15573787735775113, -7108660.63521584402769804 -879726.17516472144052386))</t>
  </si>
  <si>
    <t>Polygon ((-7109016.41659644152969122 -880219.97267972119152546, -7108784.27016214746981859 -880374.73696924978867173, -7108545.12753394246101379 -880016.02302694087848067, -7108777.27396823652088642 -879861.2587374122813344, -7109016.41659644152969122 -880219.97267972119152546))</t>
  </si>
  <si>
    <t>Polygon ((-7109017.37613503634929657 -880416.71031660726293921, -7108949.58768017403781414 -880463.64078535698354244, -7108892.58650830015540123 -880381.30575931444764137, -7108960.37496316246688366 -880334.37529056472703815, -7109017.37613503634929657 -880416.71031660726293921))</t>
  </si>
  <si>
    <t>Polygon ((-7110391.1019084146246314 -882285.56058734748512506, -7110525.61078848131000996 -882136.28853751160204411, -7110733.16255779657512903 -882323.31320875603705645, -7110598.65367772988975048 -882472.58525859192013741, -7110391.1019084146246314 -882285.56058734748512506))</t>
  </si>
  <si>
    <t>Polygon ((-7111054.92473646532744169 -882673.7396534401923418, -7110897.18220055941492319 -882832.98449920862913132, -7110665.55915011744946241 -882603.54657187964767218, -7110823.30168602336198092 -882444.30172611121088266, -7111054.92473646532744169 -882673.7396534401923418))</t>
  </si>
  <si>
    <t>Polygon ((-7112884.891263198107481 -887019.32078819908201694, -7112964.94739754311740398 -887247.17286290042102337, -7112739.58170514926314354 -887326.35540346242487431, -7112659.52557080425322056 -887098.50332876108586788, -7112884.891263198107481 -887019.32078819908201694))</t>
  </si>
  <si>
    <t>Polygon ((-7113056.18747759889811277 -888388.54349356715101749, -7112779.32032362837344408 -888414.04441564297303557, -7112684.19239533878862858 -887381.22690848901402205, -7112961.05954930931329727 -887355.72598641319200397, -7113056.18747759889811277 -888388.54349356715101749))</t>
  </si>
  <si>
    <t>Polygon ((-7124487.1861185347661376 -844308.16159838356543332, -7124006.67482352256774902 -844362.25889649835880846, -7123835.26362221781164408 -842839.72410845663398504, -7124315.77491723001003265 -842785.62681034184060991, -7124487.1861185347661376 -844308.16159838356543332))</t>
  </si>
  <si>
    <t>L3</t>
  </si>
  <si>
    <t>Polygon ((-7124425.76526627130806446 -844729.51211183762643486, -7124305.98215362150222063 -844717.12075535545591265, -7124327.37281928025186062 -844510.34432067035231739, -7124447.15593193005770445 -844522.73567715229000896, -7124425.76526627130806446 -844729.51211183762643486))</t>
  </si>
  <si>
    <t>Polygon ((-7124873.81106111779808998 -846096.25516310334205627, -7125019.66924035362899303 -846123.60357171064242721, -7124994.17119768727570772 -846259.59313259180635214, -7124848.31301845144480467 -846232.24472398450598121, -7124873.81106111779808998 -846096.25516310334205627))</t>
  </si>
  <si>
    <t>Polygon ((-7124225.3517077686265111 -846629.48547245562076569, -7124321.53515273332595825 -846776.9667547382414341, -7124159.59492120705544949 -846882.57994920946657658, -7124063.41147624235600233 -846735.09866692684590816, -7124225.3517077686265111 -846629.48547245562076569))</t>
  </si>
  <si>
    <t>Polygon ((-7126545.43617795687168837 -878367.69905099598690867, -7126049.72619505692273378 -878207.62603568332269788, -7126359.18350590486079454 -877249.30662145232781768, -7126854.89348880480974913 -877409.37963676499202847, -7126545.43617795687168837 -878367.69905099598690867))</t>
  </si>
  <si>
    <t>L4</t>
  </si>
  <si>
    <t>Polygon ((-7125891.85887343995273113 -878872.38950671814382076, -7125891.85887344088405371 -878530.85861196182668209, -7126254.54654928762465715 -878530.85861196182668209, -7126254.54654928669333458 -878872.38950671814382076, -7125891.85887343995273113 -878872.38950671814382076))</t>
  </si>
  <si>
    <t>Polygon ((-7126131.44317262433469296 -879093.65374582447111607, -7125897.78813612833619118 -879178.02917566895484924, -7125814.43186277989298105 -878947.19641869910992682, -7126048.08689927589148283 -878862.82098885462619364, -7126131.44317262433469296 -879093.65374582447111607))</t>
  </si>
  <si>
    <t>Polygon ((-7125758.52678710408508778 -879243.49275669455528259, -7125989.00700852740556002 -879302.08942316100001335, -7125900.17005824018269777 -879651.51476094359531999, -7125669.68983681686222553 -879592.91809447715058923, -7125758.52678710408508778 -879243.49275669455528259))</t>
  </si>
  <si>
    <t>Polygon ((-7125828.46224717702716589 -880051.78790628968272358, -7125601.22957221604883671 -880077.03598128608427942, -7125572.51679787691682577 -879818.62101224309299141, -7125799.74947283789515495 -879793.37293724669143558, -7125828.46224717702716589 -880051.78790628968272358))</t>
  </si>
  <si>
    <t>Polygon ((-7125693.24296193849295378 -880276.34263481525704265, -7125581.36683482397347689 -880254.8279949864372611, -7125603.4958706796169281 -880139.75700853019952774, -7125715.37199779413640499 -880161.27164835855364799, -7125693.24296193849295378 -880276.34263481525704265))</t>
  </si>
  <si>
    <t>Polygon ((-7125499.02891101315617561 -880333.22848217468708754, -7125710.51503551099449396 -880368.47616958804428577, -7125666.28184261545538902 -880633.8753269836306572, -7125454.79571811761707067 -880598.62763957027345896, -7125499.02891101315617561 -880333.22848217468708754))</t>
  </si>
  <si>
    <t>Polygon ((-7125624.48652221634984016 -881525.36506535112857819, -7125475.88307508919388056 -881568.97694657370448112, -7125410.35873125772923231 -881345.70881203864701092, -7125558.96217838488519192 -881302.09693081607110798, -7125624.48652221634984016 -881525.36506535112857819))</t>
  </si>
  <si>
    <t>Polygon ((-7125384.31320551224052906 -881795.45680362079292536, -7125322.6279134601354599 -881653.94348656293004751, -7125488.59509639721363783 -881581.59881707653403282, -7125550.28038844931870699 -881723.11213413439691067, -7125384.31320551224052906 -881795.45680362079292536))</t>
  </si>
  <si>
    <t>Polygon ((-7125403.96254387870430946 -882030.98520750552415848, -7125449.40675541292876005 -882194.58436902612447739, -7125293.91350756585597992 -882237.77693787310272455, -7125248.46929603070020676 -882074.17777635250240564, -7125403.96254387870430946 -882030.98520750552415848))</t>
  </si>
  <si>
    <t>Polygon ((-7125211.81948122102767229 -882290.72085158748086542, -7125335.73777046892791986 -882290.72085158457048237, -7125335.73777047265321016 -882441.84071652148850262, -7125211.81948122475296259 -882441.84071652439888567, -7125211.81948122102767229 -882290.72085158748086542))</t>
  </si>
  <si>
    <t>Polygon ((-7125128.37806656770408154 -882656.01243895292282104, -7125150.76705578714609146 -882476.90052518807351589, -7125302.1659112423658371 -882495.82538211904466152, -7125279.77692202106118202 -882674.93729588389396667, -7125128.37806656770408154 -882656.01243895292282104))</t>
  </si>
  <si>
    <t>Polygon ((-7125036.99656897969543934 -882750.89119099266827106, -7125179.20450215414166451 -882815.53116062097251415, -7125092.31057981122285128 -883006.69778976496309042, -7124950.10264663677662611 -882942.05782013665884733, -7125036.99656897969543934 -882750.89119099266827106))</t>
  </si>
  <si>
    <t>Polygon ((-7125046.05112153198570013 -883640.83348572207614779, -7124830.53824139200150967 -883599.38870107987895608, -7124939.07076065335422754 -883035.01960091991350055, -7125154.58364079333841801 -883076.46438556211069226, -7125046.05112153198570013 -883640.83348572207614779))</t>
  </si>
  <si>
    <t>Polygon ((-7125014.07132140826433897 -883864.99380596145056188, -7124885.50479355547577143 -883875.70768327894620597, -7124871.33079243451356888 -883705.61966977664269507, -7124999.89732028730213642 -883694.90579245914705098, -7125014.07132140826433897 -883864.99380596145056188))</t>
  </si>
  <si>
    <t>Polygon ((-7124845.95318056177347898 -884195.70044987695291638, -7125042.08877743501216173 -884246.03613403206691146, -7124929.84458102658390999 -884683.40145105728879571, -7124733.70898415334522724 -884633.06576690170913935, -7124845.95318056177347898 -884195.70044987695291638))</t>
  </si>
  <si>
    <t>Polygon ((-7124773.70200543757528067 -884841.46635141118895262, -7124929.28292435687035322 -884826.5066476664505899, -7124951.75155213568359613 -885060.18037652724888176, -7124796.17063321638852358 -885075.14008027198724449, -7124773.70200543757528067 -884841.46635141118895262))</t>
  </si>
  <si>
    <t>Polygon ((-7124735.88497887458652258 -885592.76827704347670078, -7124800.01172609813511372 -885646.76974839065223932, -7124730.25655991490930319 -885729.60400823131203651, -7124666.12981269136071205 -885675.60253688413649797, -7124735.88497887458652258 -885592.76827704347670078))</t>
  </si>
  <si>
    <t>Polygon ((-7124800.68990689981728792 -886233.31396700884215534, -7124624.32785691320896149 -886244.65152736590243876, -7124594.04276334494352341 -885773.55007188173476607, -7124770.40481333155184984 -885762.21251152479089797, -7124800.68990689981728792 -886233.31396700884215534))</t>
  </si>
  <si>
    <t>Polygon ((-7124288.75126305967569351 -887079.04857738595455885, -7124392.4998833080753684 -887118.84256871417164803, -7124241.9347590496763587 -887511.38735695695504546, -7124138.18613880127668381 -887471.59336562873795629, -7124288.75126305967569351 -887079.04857738595455885))</t>
  </si>
  <si>
    <t>Polygon ((-7123793.79411258082836866 -888860.61965681798756123, -7123651.82023091055452824 -888824.22189416084438562, -7123977.64437470305711031 -887553.30535812163725495, -7124119.61825637333095074 -887589.70312077878043056, -7123793.79411258082836866 -888860.61965681798756123))</t>
  </si>
  <si>
    <t>Polygon ((-7123719.38361803628504276 -888997.91809648042544723, -7123832.31616719253361225 -889003.89185852650552988, -7123792.11018450744450092 -889763.97638829401694238, -7123679.17763535119593143 -889758.00262624770402908, -7123719.38361803628504276 -888997.91809648042544723))</t>
  </si>
  <si>
    <t>Polygon ((-7123941.7938444446772337 -890706.35707717435434461, -7124137.86327565833926201 -890600.6974392426200211, -7124475.0793619379401207 -891226.45924883475527167, -7124279.00993072427809238 -891332.11888676648959517, -7123941.7938444446772337 -890706.35707717435434461))</t>
  </si>
  <si>
    <t>Polygon ((-7124277.01087557803839445 -891488.220459726289846, -7124412.35710369888693094 -891475.01594966917764395, -7124435.88442739099264145 -891716.17101757903583348, -7124300.53819927014410496 -891729.37552763614803553, -7124277.01087557803839445 -891488.220459726289846))</t>
  </si>
  <si>
    <t>Polygon ((-7124377.63782677054405212 -892155.82563465379644185, -7124273.36511996388435364 -892155.82563465333078057, -7124273.36511996481567621 -892034.92974270286504179, -7124377.6378267714753747 -892034.92974270333070308, -7124377.63782677054405212 -892155.82563465379644185))</t>
  </si>
  <si>
    <t>Polygon ((-7124310.82568072341382504 -892730.33738146768882871, -7124181.77360750269144773 -892709.26765522733330727, -7124225.614921017549932 -892440.73960995045490563, -7124354.6669942382723093 -892461.80933619104325771, -7124310.82568072341382504 -892730.33738146768882871))</t>
  </si>
  <si>
    <t>Polygon ((-7124145.32773886993527412 -892870.70454060100018978, -7124251.62653080653399229 -892875.22789345029741526, -7124238.94420757051557302 -893173.2624894417822361, -7124132.64541563391685486 -893168.73913659248501062, -7124145.32773886993527412 -892870.70454060100018978))</t>
  </si>
  <si>
    <t>Polygon ((-7123983.1119260061532259 -893478.90673664351925254, -7124162.63960816618055105 -893524.64627350028604269, -7123972.27774454653263092 -894271.81658819923177361, -7123792.75006238650530577 -894226.07705134246498346, -7123983.1119260061532259 -893478.90673664351925254))</t>
  </si>
  <si>
    <t>Polygon ((-7123771.58428116515278816 -894592.80210881470702589, -7123887.7998403487727046 -894580.35044175793882459, -7123912.56024899054318666 -894811.4475890607573092, -7123796.34468980692327023 -894823.89925611752551049, -7123771.58428116515278816 -894592.80210881470702589))</t>
  </si>
  <si>
    <t>Polygon ((-7123897.89515041094273329 -895280.65876703418325633, -7123760.37435017433017492 -895309.11134639440570027, -7123714.90398533828556538 -895089.33791636198293418, -7123852.42478557489812374 -895060.88533700176049024, -7123897.89515041094273329 -895280.65876703418325633))</t>
  </si>
  <si>
    <t>Polygon ((-7123969.01379630248993635 -895658.00399863754864782, -7123882.02185026742517948 -895671.73956906457897276, -7123858.21434505935758352 -895520.95870274433400482, -7123945.20629109349101782 -895507.22313231730367988, -7123969.01379630248993635 -895658.00399863754864782))</t>
  </si>
  <si>
    <t>Polygon ((-7029748.26279743853956461 -894993.76471925247460604, -7029243.16522980108857155 -894772.97356693213805556, -7030297.33147640898823738 -892361.38776989700272679, -7030802.42904404643923044 -892582.17892221733927727, -7029748.26279743853956461 -894993.76471925247460604))</t>
  </si>
  <si>
    <t>L5</t>
  </si>
  <si>
    <t>Polygon ((-7024318.50190083216875792 -903751.91998981731012464, -7023493.5797576904296875 -903287.70914404978975654, -7028367.86958898231387138 -894625.89167343033477664, -7029192.7917321240529418 -895090.10251919785514474, -7024318.50190083216875792 -903751.91998981731012464))</t>
  </si>
  <si>
    <t>Polygon ((-7004117.04329022765159607 -899436.67158777639269829, -7003918.18083914928138256 -899320.26429933961480856, -7004987.98052485100924969 -897492.68983626831322908, -7005186.8429759293794632 -897609.09712470509111881, -7004117.04329022765159607 -899436.67158777639269829))</t>
  </si>
  <si>
    <t>L6</t>
  </si>
  <si>
    <t>Polygon ((-7002318.77114152908325195 -901680.15473434794694185, -7002112.26395000703632832 -901472.03420539200305939, -7003438.53172181732952595 -900156.04757909849286079, -7003645.03891333937644958 -900364.16810805443674326, -7002318.77114152908325195 -901680.15473434794694185))</t>
  </si>
  <si>
    <t>Polygon ((-7001391.62687739636749029 -901909.77879302913788706, -7001858.30481209140270948 -901816.44320608337875456, -7001940.82809935696423054 -902229.05964237684383988, -7001474.15016466192901134 -902322.39522932260297239, -7001391.62687739636749029 -901909.77879302913788706))</t>
  </si>
  <si>
    <t>Polygon ((-7177659.9829908162355423 -781228.90401937160640955, -7177669.11223941575735807 -781466.26448296755552292, -7177435.8797838818281889 -781475.23496202565729618, -7177426.75053528230637312 -781237.87449842970818281, -7177659.9829908162355423 -781228.90401937160640955))</t>
  </si>
  <si>
    <t>L7</t>
  </si>
  <si>
    <t>Polygon ((-7176475.03256063722074032 -782893.41559253446757793, -7176179.48906360380351543 -782751.55471396073698997, -7176353.02510879002511501 -782390.02128648525103927, -7176648.5686058234423399 -782531.88216505944728851, -7176475.03256063722074032 -782893.41559253446757793))</t>
  </si>
  <si>
    <t>Polygon ((-7174313.21183350961655378 -785460.17738147755153477, -7174432.96358776558190584 -785474.26582315657287836, -7174419.42542072385549545 -785589.34024299611337483, -7174299.67366646789014339 -785575.25180131709203124, -7174313.21183350961655378 -785460.17738147755153477))</t>
  </si>
  <si>
    <t>Polygon ((-7171154.92496385239064693 -788807.49894463364034891, -7170749.57278122939169407 -788614.8847869373857975, -7170992.07732175383716822 -788104.53941059997305274, -7171397.42950437683612108 -788297.15356829622760415, -7171154.92496385239064693 -788807.49894463364034891))</t>
  </si>
  <si>
    <t>Polygon ((-7169266.89965533651411533 -789248.02913864329457283, -7169462.59701711311936378 -789621.63319294154644012, -7169002.17655656673014164 -789862.80581513419747353, -7168806.47919479012489319 -789489.20176083594560623, -7169266.89965533651411533 -789248.02913864329457283))</t>
  </si>
  <si>
    <t>Polygon ((-7167564.18511857464909554 -791887.37809118535369635, -7167564.18511857651174068 -791573.1853828513994813, -7167911.45074357464909554 -791573.18538285233080387, -7167911.45074357278645039 -791887.37809118628501892, -7167564.18511857464909554 -791887.37809118535369635))</t>
  </si>
  <si>
    <t>Polygon ((-7167880.02348839491605759 -792108.25602646078914404, -7167818.87673997320234776 -792365.07236984185874462, -7167592.33435799926519394 -792311.13370746839791536, -7167653.48110642097890377 -792054.31736408732831478, -7167880.02348839491605759 -792108.25602646078914404))</t>
  </si>
  <si>
    <t>Polygon ((-7167710.94618627894669771 -794361.64566931501030922, -7167512.50868627987802029 -793964.77066931314766407, -7167914.34462377987802029 -793763.85270056314766407, -7168112.78212377987802029 -794160.72770056501030922, -7167710.94618627894669771 -794361.64566931501030922))</t>
  </si>
  <si>
    <t>Polygon ((-7168094.41560487542301416 -794300.41909307613968849, -7168056.6245632991194725 -794610.30563399195671082, -7167736.10709584318101406 -794571.21813795994967222, -7167773.89813741948455572 -794261.3315970441326499, -7168094.41560487542301416 -794300.41909307613968849))</t>
  </si>
  <si>
    <t>Polygon ((-7166971.63479247409850359 -797840.4116284791380167, -7166948.80569955613464117 -798182.8480222849175334, -7166661.79570923559367657 -798163.71402293164283037, -7166684.62480215355753899 -797821.27762912586331367, -7166971.63479247409850359 -797840.4116284791380167))</t>
  </si>
  <si>
    <t>Polygon ((-7166863.45269669499248266 -800149.40608598606195301, -7166214.39670711010694504 -800149.40608598699327558, -7166214.39670710731297731 -798421.34619015164207667, -7166863.45269669219851494 -798421.3461901507107541, -7166863.45269669499248266 -800149.40608598606195301))</t>
  </si>
  <si>
    <t>Polygon ((-7166146.94934982247650623 -800636.14186534192413092, -7166162.70301722921431065 -800198.97759481612592936, -7166810.91723848879337311 -800222.33666585199534893, -7166795.1635710820555687 -800659.50093637779355049, -7166146.94934982247650623 -800636.14186534192413092))</t>
  </si>
  <si>
    <t>Polygon ((-7149167.71585177443921566 -884127.73604576080106199, -7148687.74584836885333061 -884077.92783786007203162, -7148994.08376730792224407 -881125.94425537320785224, -7149474.05377071350812912 -881175.75246327416971326, -7149167.71585177443921566 -884127.73604576080106199))</t>
  </si>
  <si>
    <t>L8</t>
  </si>
  <si>
    <t>Polygon ((-7148926.81527417432516813 -884115.38637637137435377, -7149235.03530506044626236 -884104.63451482844538987, -7149266.53161948826164007 -885007.52886174316518009, -7148958.31158860214054585 -885018.28072328609414399, -7148926.81527417432516813 -884115.38637637137435377))</t>
  </si>
  <si>
    <t>Polygon ((-7149081.8196579534560442 -885414.8287204101216048, -7148889.86704357340931892 -885366.84056681650690734, -7148959.03915686160326004 -885090.15211365721188486, -7149150.99177124164998531 -885138.14026725082658231, -7149081.8196579534560442 -885414.8287204101216048))</t>
  </si>
  <si>
    <t>Polygon ((-7149007.77603737358003855 -885485.41794380731880665, -7149162.30493158660829067 -885525.72982925735414028, -7149112.0809271577745676 -885718.25517955189570785, -7148957.55203294474631548 -885677.94329410186037421, -7149007.77603737358003855 -885485.41794380731880665))</t>
  </si>
  <si>
    <t>Polygon ((-7148973.81065098382532597 -885926.55312957521528006, -7148986.08475090935826302 -885754.71573062893003225, -7149127.62862663716077805 -885764.82600746769458055, -7149115.354526711627841 -885936.66340641397982836, -7148973.81065098382532597 -885926.55312957521528006))</t>
  </si>
  <si>
    <t>Polygon ((-7149038.14478469174355268 -886042.4858345384709537, -7149101.38472415134310722 -886064.80581317003816366, -7149069.70256603322923183 -886154.57192784175276756, -7149006.4626265736296773 -886132.2519492101855576, -7149038.14478469174355268 -886042.4858345384709537))</t>
  </si>
  <si>
    <t>Polygon ((-7149111.86629466153681278 -886356.65027542191091925, -7148972.22509095910936594 -886356.65027542074676603, -7148972.22509096004068851 -886224.35860875493381172, -7149111.86629466246813536 -886224.35860875609796494, -7149111.86629466153681278 -886356.65027542191091925))</t>
  </si>
  <si>
    <t>Polygon ((-7148968.55032243952155113 -886485.26717357209417969, -7149100.84198910277336836 -886485.26717356778681278, -7149100.84198910742998123 -886617.55884023383259773, -7148968.55032244417816401 -886617.55884023813996464, -7148968.55032243952155113 -886485.26717357209417969))</t>
  </si>
  <si>
    <t>Polygon ((-7149032.85877151507884264 -886975.84877079166471958, -7149225.68011585529893637 -887082.97173987329006195, -7149108.76354199647903442 -887293.42157281097024679, -7148915.9421976562589407 -887186.29860372934490442, -7149032.85877151507884264 -886975.84877079166471958))</t>
  </si>
  <si>
    <t>Polygon ((-7148982.60244247037917376 -887447.84870014060288668, -7149155.1200418509542942 -887280.55890679266303778, -7149455.9745404627174139 -887590.81510847061872482, -7149283.45694108214229345 -887758.10490181855857372, -7148982.60244247037917376 -887447.84870014060288668))</t>
  </si>
  <si>
    <t>Polygon ((-7149532.29834122490137815 -887716.29445916507393122, -7149664.84315242804586887 -887891.59566108230501413, -7149504.65412309020757675 -888012.71419545728713274, -7149372.10931188706308603 -887837.41299354005604982, -7149532.29834122490137815 -887716.29445916507393122))</t>
  </si>
  <si>
    <t>Polygon ((-7149522.73775299452245235 -888094.07495134929195046, -7149668.78040345571935177 -888013.98704625805839896, -7149779.12929234281182289 -888215.21149070141837001, -7149633.08664188161492348 -888295.29939579265192151, -7149522.73775299452245235 -888094.07495134929195046))</t>
  </si>
  <si>
    <t>Polygon ((-7149703.67203598842024803 -888442.01349081099033356, -7149819.22348769940435886 -888311.0551788667216897, -7150033.55757875647395849 -888500.1734944973140955, -7149918.00612704548984766 -888631.13180644158273935, -7149703.67203598842024803 -888442.01349081099033356))</t>
  </si>
  <si>
    <t>Polygon ((-7150368.13479725457727909 -888675.38875444326549768, -7150375.99677907209843397 -888934.83415454346686602, -7150112.21245503984391689 -888942.82761890441179276, -7150104.35047322232276201 -888683.38221880421042442, -7150368.13479725457727909 -888675.38875444326549768))</t>
  </si>
  <si>
    <t>Polygon ((-7150680.06826385203748941 -889245.57047636248171329, -7150530.44109231419861317 -889456.15686593111604452, -7150306.52034942153841257 -889297.05528545286506414, -7150456.14752095937728882 -889086.46889588423073292, -7150680.06826385203748941 -889245.57047636248171329))</t>
  </si>
  <si>
    <t>Polygon ((-7150618.31006204057484865 -890389.39746223168913275, -7150439.31031778361648321 -890385.13556355971377343, -7150457.41870259027928114 -889624.58340153621975332, -7150636.41844684723764658 -889628.84530020819511265, -7150618.31006204057484865 -890389.39746223168913275))</t>
  </si>
  <si>
    <t>Polygon ((-7150445.27886276599019766 -890419.01815949846059084, -7150688.52723868377506733 -890465.31381813995540142, -7150524.42460350412875414 -891327.54800298996269703, -7150281.17622758634388447 -891281.25234434846788645, -7150445.27886276599019766 -890419.01815949846059084))</t>
  </si>
  <si>
    <t>Polygon ((-7150597.70490441098809242 -891803.54348756675608456, -7150498.92180570121854544 -891801.44171950954478234, -7150501.45506807044148445 -891682.37838811322581023, -7150600.23816678021103144 -891684.48015617055352777, -7150597.70490441098809242 -891803.54348756675608456))</t>
  </si>
  <si>
    <t>Polygon ((-7143985.97737841214984655 -855664.51726109255105257, -7143992.06862895470112562 -855761.97726973984390497, -7143884.08476960472762585 -855768.72626095172017813, -7143877.99351906217634678 -855671.26625230442732573, -7143985.97737841214984655 -855664.51726109255105257))</t>
  </si>
  <si>
    <t>L9</t>
  </si>
  <si>
    <t>Polygon ((-7143538.81120436452329159 -856186.29337981902062893, -7143659.54933917708694935 -856353.46925879176706076, -7143460.03847879730165005 -856497.56043573096394539, -7143339.30034398473799229 -856330.38455675821751356, -7143538.81120436452329159 -856186.29337981902062893))</t>
  </si>
  <si>
    <t>Polygon ((-7143540.25606669392436743 -857310.2516685463488102, -7143516.91047845873981714 -857084.57764893863350153, -7143795.61789267510175705 -857055.74584746826440096, -7143818.96348091028630733 -857281.41986707597970963, -7143540.25606669392436743 -857310.2516685463488102))</t>
  </si>
  <si>
    <t>Polygon ((-7144269.56963289715349674 -857886.4731547050178051, -7144253.48385372199118137 -857942.77338181808590889, -7144170.48955340683460236 -857919.06072458531707525, -7144186.57533258199691772 -857862.76049747224897146, -7144269.56963289715349674 -857886.4731547050178051))</t>
  </si>
  <si>
    <t>Polygon ((-7144245.65852153487503529 -858074.74544663075357676, -7144302.09116592723876238 -858180.08638283330947161, -7144169.11480502691119909 -858251.32371902838349342, -7144112.682160634547472 -858145.98278282582759857, -7144245.65852153487503529 -858074.74544663075357676))</t>
  </si>
  <si>
    <t>Polygon ((-7144161.8699974287301302 -858490.80938448663800955, -7144155.23390325624495745 -858703.16439803689718246, -7143928.53832963388413191 -858696.08016136195510626, -7143935.17442380636930466 -858483.72514781169593334, -7144161.8699974287301302 -858490.80938448663800955))</t>
  </si>
  <si>
    <t>Polygon ((-7143950.97413587104529142 -859080.56491745123639703, -7143605.54589512757956982 -859080.56491745740640908, -7143605.54589512199163437 -858764.53482486575376242, -7143950.97413586545735598 -858764.53482485958375037, -7143950.97413587104529142 -859080.56491745123639703))</t>
  </si>
  <si>
    <t>Polygon ((-7143478.56850908882915974 -859332.03215393144637346, -7143501.46514369826763868 -859148.85907700844109058, -7143734.84121207427233458 -859178.03108554799109697, -7143711.94457746483385563 -859361.20416247099637985, -7143478.56850908882915974 -859332.03215393144637346))</t>
  </si>
  <si>
    <t>Polygon ((-7143656.57689590379595757 -859458.38208510726690292, -7143610.57523160148411989 -859556.95708003826439381, -7143501.13686988409608603 -859505.88584456965327263, -7143547.1385341864079237 -859407.31084963865578175, -7143656.57689590379595757 -859458.38208510726690292))</t>
  </si>
  <si>
    <t>Polygon ((-7143565.12344142328947783 -859819.19338967895600945, -7143351.98686734959483147 -859819.1933896808186546, -7143351.98686734773218632 -859591.35774153203237802, -7143565.12344142142683268 -859591.35774153016973287, -7143565.12344142328947783 -859819.19338967895600945))</t>
  </si>
  <si>
    <t>Polygon ((-7143423.79106440953910351 -860040.72734592901542783, -7143237.45983098726719618 -860006.22156196041032672, -7143276.52252286765724421 -859795.28302581887692213, -7143462.85375628899782896 -859829.78880978794768453, -7143423.79106440953910351 -860040.72734592901542783))</t>
  </si>
  <si>
    <t>Polygon ((-7144042.33355435729026794 -862641.05450748279690742, -7144081.88510916195809841 -862383.96940124314278364, -7144341.17932479921728373 -862423.86081903241574764, -7144301.62776999361813068 -862680.94592527206987143, -7144042.33355435729026794 -862641.05450748279690742))</t>
  </si>
  <si>
    <t>Polygon ((-7144467.6275795316323638 -866262.64626662584487349, -7144062.86857488006353378 -866266.32589394191745669, -7144056.46468110755085945 -865561.89757917157839984, -7144461.22368575911968946 -865558.21795185550581664, -7144467.6275795316323638 -866262.64626662584487349))</t>
  </si>
  <si>
    <t>Polygon ((-7143454.08878334425389767 -870492.08518229471519589, -7142990.5014617657288909 -870329.33644173992797732, -7143284.68325052876025438 -869491.36407374870032072, -7143748.27057210728526115 -869654.112814303021878, -7143454.08878334425389767 -870492.08518229471519589))</t>
  </si>
  <si>
    <t>Polygon ((-7143330.22423044499009848 -870655.18493205029517412, -7143321.31613399647176266 -870797.71447521448135376, -7143178.10025274474173784 -870788.76348263584077358, -7143187.00834919326007366 -870646.23393947165459394, -7143330.22423044499009848 -870655.18493205029517412))</t>
  </si>
  <si>
    <t>Polygon ((-7143031.88626194000244141 -870883.41258483845740557, -7143136.36275766603648663 -870896.47214680444449186, -7143123.92507960274815559 -870995.97357130702584982, -7143019.44858387671411037 -870982.91400934080593288, -7143031.88626194000244141 -870883.41258483845740557))</t>
  </si>
  <si>
    <t>Polygon ((-7143313.59033356420695782 -873423.05188184697180986, -7143264.92006607446819544 -873155.36541065294295549, -7143566.38174302875995636 -873100.55419666133821011, -7143615.05201051849871874 -873368.24066785536706448, -7143313.59033356420695782 -873423.05188184697180986))</t>
  </si>
  <si>
    <t>L10</t>
  </si>
  <si>
    <t>Polygon ((-7143478.42950589768588543 -874614.68642719741910696, -7143436.36299298796802759 -874877.60213286895304918, -7143215.32907447218894958 -874842.23670590482652187, -7143257.39558738097548485 -874579.32100023329257965, -7143478.42950589768588543 -874614.68642719741910696))</t>
  </si>
  <si>
    <t>Polygon ((-7142931.00825711712241173 -875157.67389734135940671, -7143380.22367078065872192 -875286.02115838136523962, -7143223.68007268384099007 -875833.92375174909830093, -7142774.46465902030467987 -875705.57649070909246802, -7142931.00825711712241173 -875157.67389734135940671))</t>
  </si>
  <si>
    <t>Polygon ((-7142594.31261577270925045 -875991.91706463228911161, -7142981.47432987112551928 -876349.29710841178894043, -7142552.71220113150775433 -876813.78941455204039812, -7142165.5504870330914855 -876456.40937077254056931, -7142594.31261577270925045 -875991.91706463228911161))</t>
  </si>
  <si>
    <t>Polygon ((-7142295.44183321110904217 -876833.65745283896103501, -7142543.32466992642730474 -876965.34520984580740333, -7142364.3223635321483016 -877302.29072775971144438, -7142116.43952681683003902 -877170.60297075286507607, -7142295.44183321110904217 -876833.65745283896103501))</t>
  </si>
  <si>
    <t>Polygon ((-7141943.21198994014412165 -877712.60100735817104578, -7141943.21198994293808937 -877520.69642916973680258, -7142175.94732945039868355 -877520.69642917439341545, -7142175.94732944760471582 -877712.60100736282765865, -7141943.21198994014412165 -877712.60100735817104578))</t>
  </si>
  <si>
    <t>Polygon ((-7142129.13079909328371286 -878996.14735807804390788, -7141804.74737039487808943 -879098.58423029817640781, -7141661.89112991839647293 -878646.2061354557517916, -7141986.27455861680209637 -878543.76926323561929166, -7142129.13079909328371286 -878996.14735807804390788))</t>
  </si>
  <si>
    <t>Polygon ((-7141877.03762856591492891 -879097.36647091107442975, -7142147.93992338981479406 -879190.48913475684821606, -7142040.4997480446472764 -879503.04237212566658854, -7141769.59745322074741125 -879409.91970827989280224, -7141877.03762856591492891 -879097.36647091107442975))</t>
  </si>
  <si>
    <t>Polygon ((-7141902.60193544439971447 -879822.22712653735652566, -7142139.36517438199371099 -879653.11052730260416865, -7142320.89653212483972311 -879907.25442815339192748, -7142084.13329318724572659 -880076.37102738721296191, -7141902.60193544439971447 -879822.22712653735652566))</t>
  </si>
  <si>
    <t>type</t>
  </si>
  <si>
    <t>Length</t>
  </si>
  <si>
    <t>MultiLineString ((-7109399.71645008400082588 -801100.00438384886365384, -7108010.65395008306950331 -801941.00140765903051943))</t>
  </si>
  <si>
    <t>Inferred</t>
  </si>
  <si>
    <t>MultiLineString ((-7107623.62208004295825958 -802192.19808424648363143, -7107127.52833004295825958 -802341.02620924660004675))</t>
  </si>
  <si>
    <t>MultiLineString ((-7106807.82346893195062876 -802495.36648702446836978, -7105159.68978837504982948 -803570.23627869191113859))</t>
  </si>
  <si>
    <t>MultiLineString ((-7104476.18284392915666103 -803961.59912591450847685, -7104368.69586476217955351 -804002.94027174788061529))</t>
  </si>
  <si>
    <t>MultiLineString ((-7103795.43197587318718433 -804669.91075785923749208, -7103795.43197587318718433 -804810.47065369260963053))</t>
  </si>
  <si>
    <t>MultiLineString ((-7103734.79829531721770763 -805408.53923008183483034, -7103809.21235781721770763 -805560.1234314707107842))</t>
  </si>
  <si>
    <t>MultiLineString ((-7104980.54482309613376856 -807486.62082730478141457, -7105151.42155920807272196 -807927.59304952726233751))</t>
  </si>
  <si>
    <t>MultiLineString ((-7105912.09864254109561443 -808715.83089674962684512, -7106176.68197587504982948 -810904.1555495283100754))</t>
  </si>
  <si>
    <t>MultiLineString ((-7106391.65593420993536711 -812734.19027175114024431, -7106430.24100365489721298 -813836.620827307109721))</t>
  </si>
  <si>
    <t>MultiLineString ((-7106424.72885087691247463 -814024.03402175172232091, -7106749.94586476590484381 -814619.34652175195515156))</t>
  </si>
  <si>
    <t>MultiLineString ((-7106992.48058698792010546 -814994.17291064094752073, -7107042.08996198792010546 -815082.36735508544370532))</t>
  </si>
  <si>
    <t>MultiLineString ((-7107130.28440643288195133 -815308.3656189744360745, -7108574.46843421086668968 -818103.02707730885595083))</t>
  </si>
  <si>
    <t>MultiLineString ((-7111564.18206881452351809 -844825.13434312073513865, -7111303.37849738541990519 -845849.44981931149959564))</t>
  </si>
  <si>
    <t>MultiLineString ((-7111133.28921167179942131 -846329.47958121646661311, -7110997.21778309997171164 -846911.5629145500715822))</t>
  </si>
  <si>
    <t>MultiLineString ((-7110944.30111643392592669 -847074.09267645492218435, -7110838.46778309997171164 -847459.62839074071962386))</t>
  </si>
  <si>
    <t>MultiLineString ((-7110589.00349738635122776 -848026.59267645515501499, -7110551.20587833877652884 -848147.54505740758031607))</t>
  </si>
  <si>
    <t>MultiLineString ((-7110426.47373548150062561 -848491.50339074095245451, -7110214.80706881452351809 -849326.83077169361058623))</t>
  </si>
  <si>
    <t>MultiLineString ((-7110059.83683071937412024 -849648.1105335985776037, -7110067.39635452907532454 -849829.53910502721555531))</t>
  </si>
  <si>
    <t>MultiLineString ((-7110037.15825929120182991 -850207.51529550354462117, -7110037.15825929120182991 -850347.36648597975727171))</t>
  </si>
  <si>
    <t>MultiLineString ((-7109988.02135452814400196 -850808.49743836082052439, -7110037.15825929027050734 -851012.60458121809642762))</t>
  </si>
  <si>
    <t>MultiLineString ((-7110033.37849738541990519 -851212.93196217052172869, -7109969.12254500482231379 -851458.61648598010651767))</t>
  </si>
  <si>
    <t>MultiLineString ((-7109867.06897357571870089 -851734.53910502791404724, -7109851.94992595724761486 -851942.42600978992413729))</t>
  </si>
  <si>
    <t>MultiLineString ((-7109810.37254500482231379 -852195.67005740897729993, -7109704.53921167086809874 -852717.27720026636961848))</t>
  </si>
  <si>
    <t>MultiLineString ((-7109647.84278309997171164 -853008.31886693311389536, -7109598.70587833784520626 -853185.96767645701766014))</t>
  </si>
  <si>
    <t>MultiLineString ((-7109519.33087833877652884 -853450.55100979015696794, -7109504.21183071937412024 -853582.84267645690124482))</t>
  </si>
  <si>
    <t>MultiLineString ((-7109477.75349738635122776 -853873.8843431236455217, -7109443.73564024269580841 -854255.64029550470877439))</t>
  </si>
  <si>
    <t>MultiLineString ((-7109337.90230690967291594 -855079.62839074316434562, -7109322.78325929027050734 -855140.10458121937699616))</t>
  </si>
  <si>
    <t>MultiLineString ((-7109269.86659262422472239 -855393.34862883843015879, -7109235.84873548150062561 -855525.64029550517443568))</t>
  </si>
  <si>
    <t>MultiLineString ((-7109216.94992595631629229 -855850.69981931487563998, -7109209.39040214661508799 -856092.60458121972624213))</t>
  </si>
  <si>
    <t>MultiLineString ((-7109198.05111643206328154 -856478.14029550552368164, -7109254.74754500389099121 -857460.87839074397925287))</t>
  </si>
  <si>
    <t>MultiLineString ((-7109262.30706881266087294 -857642.30696217261720449, -7109277.42611643206328154 -857850.19386693462729454))</t>
  </si>
  <si>
    <t>MultiLineString ((-7109303.88444976508617401 -858103.4379145537968725, -7109284.98564024176448584 -859331.86053360183723271))</t>
  </si>
  <si>
    <t>MultiLineString ((-7109243.40825928840786219 -860068.91410503059159964, -7109167.81302119325846434 -860692.57481931650545448))</t>
  </si>
  <si>
    <t>MultiLineString ((-7109088.43802119325846434 -860953.37839074514340609, -7109077.09873547870665789 -861032.75339074525982141))</t>
  </si>
  <si>
    <t>MultiLineString ((-7109031.74159262143075466 -861267.09862884052563459, -7108933.46778309810906649 -861671.53315265011042356))</t>
  </si>
  <si>
    <t>MultiLineString ((-7108850.31302119325846434 -861879.42005741212051362, -7108793.61659262143075466 -862393.46767645992804319))</t>
  </si>
  <si>
    <t>MultiLineString ((-7108725.58087833598256111 -862627.81291455519385636, -7108506.35468785930424929 -863833.55696217459626496))</t>
  </si>
  <si>
    <t>MultiLineString ((-7108464.77730690781027079 -864207.75339074630755931, -7108449.65825928840786219 -864283.34862884157337248))</t>
  </si>
  <si>
    <t>MultiLineString ((-7108419.42016405053436756 -864793.61648598464671522, -7108423.19992595538496971 -864986.38434312748722732))</t>
  </si>
  <si>
    <t>MultiLineString ((-7108464.77730690781027079 -865292.54505741340108216, -7108570.61064024083316326 -866093.85458122310228646))</t>
  </si>
  <si>
    <t>MultiLineString ((-7108676.44397357385605574 -866623.02124788984656334, -7108706.68206881172955036 -866830.90815265185665339))</t>
  </si>
  <si>
    <t>MultiLineString ((-7108725.58087833598256111 -867084.15220027090981603, -7108725.58087833598256111 -867178.64624788996297866))</t>
  </si>
  <si>
    <t>MultiLineString ((-7108733.14040214568376541 -867382.75339074723888189, -7108649.98564024083316326 -867911.92005741398315877))</t>
  </si>
  <si>
    <t>MultiLineString ((-7108604.62849738355726004 -868066.89029550936538726, -7108589.50944976508617401 -868168.94386693788692355))</t>
  </si>
  <si>
    <t>MultiLineString ((-7108547.93206881172955036 -868320.13434312853496522, -7108457.21778309717774391 -870519.95577170071192086))</t>
  </si>
  <si>
    <t>MultiLineString ((-7108430.75944976508617401 -870848.79505741514731199, -7108396.74159262143075466 -871083.14029551041312516))</t>
  </si>
  <si>
    <t>MultiLineString ((-7108392.96183071751147509 -871196.53315265337005258, -7108374.06302119325846434 -871336.38434312958270311))</t>
  </si>
  <si>
    <t>MultiLineString ((-7108347.60468786023557186 -871464.89624789147637784, -7108290.90825928840786219 -871846.65220027253963053))</t>
  </si>
  <si>
    <t>MultiLineString ((-7108151.05706881266087294 -872307.78315265371929854, -7108491.23564024083316326 -872674.42005741572938859))</t>
  </si>
  <si>
    <t>MultiLineString ((-7108237.99159262143075466 -872043.19981932023074478, -7108083.02135452628135681 -872194.39029551076237112))</t>
  </si>
  <si>
    <t>MultiLineString ((-7108487.45587833505123854 -872768.91410503478255123, -7108052.78325928747653961 -873146.89029551111161709))</t>
  </si>
  <si>
    <t>MultiLineString ((-7107928.05111643020063639 -873339.65815265406854451, -7107909.15230690594762564 -873422.81291455880273134))</t>
  </si>
  <si>
    <t>MultiLineString ((-7107795.75944976322352886 -873694.95577170175965875, -7107810.87849738262593746 -873774.33077170187607408))</t>
  </si>
  <si>
    <t>MultiLineString ((-7107795.75944976322352886 -874031.35458122566342354, -7107863.79516404867172241 -874397.99148598778992891))</t>
  </si>
  <si>
    <t>MultiLineString ((-7107935.61064023897051811 -874753.28910503548104316, -7107935.61064023897051811 -874821.32481932116206735))</t>
  </si>
  <si>
    <t>MultiLineString ((-7108086.80111643020063639 -875887.21767646446824074, -7108083.02135452535003424 -875951.4736288454150781))</t>
  </si>
  <si>
    <t>MultiLineString ((-7108094.36064023897051811 -876280.31291455973405391, -7108109.47968785837292671 -876469.3010097979567945))</t>
  </si>
  <si>
    <t>MultiLineString ((-7108071.68206881079822779 -876767.90220027428586036, -7108067.90230690594762564 -876877.51529551239218563))</t>
  </si>
  <si>
    <t>MultiLineString ((-7108143.49754500202834606 -878737.15815265593118966, -7108185.07492595445364714 -878797.63434313214384019, -7108185.07492595445364714 -878797.63434313214384019))</t>
  </si>
  <si>
    <t>MultiLineString ((-7108355.16421166807413101 -879179.39029551320709288, -7108362.72373547777533531 -879209.62839075131341815))</t>
  </si>
  <si>
    <t>MultiLineString ((-7108555.49159262049943209 -879772.81291456101462245, -7108653.76540214475244284 -879954.24148598965257406))</t>
  </si>
  <si>
    <t>MultiLineString ((-7108903.22968786023557186 -880301.97958122787531465, -7108933.46778309810906649 -880347.33672408503480256))</t>
  </si>
  <si>
    <t>MultiLineString ((-7108986.38444976508617401 -880451.28017646598163992, -7110479.39040214568376541 -882208.86946218018420041))</t>
  </si>
  <si>
    <t>MultiLineString ((-7110653.25944976508617401 -882412.97660503734368831, -7110755.31302119325846434 -882503.69089075166266412))</t>
  </si>
  <si>
    <t>MultiLineString ((-7110979.26391404867172241 -882735.201307418406941, -7112765.20141404867172241 -887061.13880741829052567))</t>
  </si>
  <si>
    <t>MultiLineString ((-7112811.50349738355726004 -887279.42005741805769503, -7112851.19099738355726004 -887358.79505741805769503))</t>
  </si>
  <si>
    <t>MultiLineString ((-7124337.41495571471750736 -844321.00859907548874617, -7124370.48787238076329231 -844529.36797407548874617))</t>
  </si>
  <si>
    <t>MultiLineString ((-7124393.63891404774039984 -844731.11276574223302305, -7124896.34724738076329231 -846106.94609907525591552))</t>
  </si>
  <si>
    <t>MultiLineString ((-7124929.42016404680907726 -846259.08151574188377708, -7124228.27433071378618479 -846685.72214074176736176))</t>
  </si>
  <si>
    <t>MultiLineString ((-7126266.6431836998090148 -878273.68712339294143021, -7126155.49786951579153538 -878531.93652987864334136))</t>
  </si>
  <si>
    <t>MultiLineString ((-7125939.74520080629736185 -879143.23575788910966367, -7125900.51744285970926285 -879280.53291070437990129))</t>
  </si>
  <si>
    <t>MultiLineString ((-7125795.91008833330124617 -879627.04477257118560374, -7125756.68233038578182459 -879806.83866316254716367))</t>
  </si>
  <si>
    <t>MultiLineString ((-7125668.4198750052601099 -880078.16398896393366158, -7125652.07497586030513048 -880156.61950485839042813))</t>
  </si>
  <si>
    <t>MultiLineString ((-7125635.73007671628147364 -880271.03379887121263891, -7125619.38517757132649422 -880356.02727442339528352))</t>
  </si>
  <si>
    <t>MultiLineString ((-7125557.27456082124263048 -880620.81464056705590338, -7125534.39170201867818832 -881307.30040464294143021))</t>
  </si>
  <si>
    <t>MultiLineString ((-7125514.77782304491847754 -881542.6669523260788992, -7125482.08802475593984127 -881621.12246822041925043))</t>
  </si>
  <si>
    <t>MultiLineString ((-7125393.82556937448680401 -881771.49554035137407482, -7125364.40475091431289911 -882042.82086615287698805))</t>
  </si>
  <si>
    <t>MultiLineString ((-7125321.90801313798874617 -882212.80781725712586194, -7125292.4871946768835187 -882294.53231298050377518))</t>
  </si>
  <si>
    <t>MultiLineString ((-7125249.99045690149068832 -882444.90538511134218425, -7125230.37657792773097754 -882490.67110271647106856))</t>
  </si>
  <si>
    <t>MultiLineString ((-7125178.07290066499263048 -882670.46499330771621317, -7125115.96228391490876675 -882801.22418646502774209))</t>
  </si>
  <si>
    <t>MultiLineString ((-7125034.2377881919965148 -882984.28705688531044871, -7125034.2377881919965148 -883066.01155260868836194))</t>
  </si>
  <si>
    <t>MultiLineString ((-7124952.51329246815294027 -883621.73812352726235986, -7124945.97533281054347754 -883706.73159907944500446))</t>
  </si>
  <si>
    <t>MultiLineString ((-7124929.63043366651982069 -883879.98753001296427101, -7124906.74757486395537853 -884223.23041205096524209))</t>
  </si>
  <si>
    <t>MultiLineString ((-7124838.09899845626205206 -884667.81166878575459123, -7124841.36797828506678343 -884837.79861989035271108))</t>
  </si>
  <si>
    <t>MultiLineString ((-7124864.25083708856254816 -885073.16516757372301072, -7124753.10552290547639132 -885609.27785951865371317))</t>
  </si>
  <si>
    <t>MultiLineString ((-7124720.41572461556643248 -885710.61623421555850655, -7124704.07082547154277563 -885769.45787113637197763))</t>
  </si>
  <si>
    <t>MultiLineString ((-7124730.22266410291194916 -886236.9219866736093536, -7124632.15326923504471779 -886429.79179658077191561, -7124458.89733830094337463 -886688.04120306659024209, -7124409.86264086700975895 -886807.35896682261954993, -7124329.77263505849987268 -887103.20164134120568633))</t>
  </si>
  <si>
    <t>MultiLineString ((-7124171.22711335308849812 -887500.38269055681303144, -7124107.48200668953359127 -887591.91412576707080007))</t>
  </si>
  <si>
    <t>MultiLineString ((-7123772.41157422494143248 -888870.08523888036143035, -7123765.87361456733196974 -889023.72729084023740143))</t>
  </si>
  <si>
    <t>MultiLineString ((-7123726.64585661794990301 -889751.07530277816113085, -7123988.16424293257296085 -890699.07945316913537681))</t>
  </si>
  <si>
    <t>MultiLineString ((-7124334.67610479984432459 -891294.0337820352287963, -7124354.28998377360403538 -891477.09665245562791824))</t>
  </si>
  <si>
    <t>MultiLineString ((-7124357.5589636005461216 -891725.53911945456638932, -7124344.48304428532719612 -892042.63016286119818687))</t>
  </si>
  <si>
    <t>MultiLineString ((-7124328.1381451403722167 -892153.77547704498283565, -7124285.64140736404806376 -892457.79060113593004644))</t>
  </si>
  <si>
    <t>MultiLineString ((-7124249.68262924626469612 -892729.115926937549375, -7124210.45487129874527454 -892879.48899906850419939))</t>
  </si>
  <si>
    <t>MultiLineString ((-7124145.07527471985667944 -893176.96616350160911679, -7124040.46792019344866276 -893507.13312622392550111))</t>
  </si>
  <si>
    <t>MultiLineString ((-7123886.82586823403835297 -894245.92256756313145161, -7123837.79117080010473728 -894582.62748994340654463))</t>
  </si>
  <si>
    <t>MultiLineString ((-7123831.25321114249527454 -894827.80097711354028434, -7123818.17729182634502649 -895063.16752479679416865))</t>
  </si>
  <si>
    <t>MultiLineString ((-7123824.71525148395448923 -895291.99611282220575958, -7123877.01892874669283628 -895533.9006201634183526))</t>
  </si>
  <si>
    <t>MultiLineString ((-7029415.0604648981243372 -894867.19534700736403465, -7029084.33129823114722967 -895040.82815950748044997))</t>
  </si>
  <si>
    <t>MultiLineString ((-7004033.18696729745715857 -899395.004842201131396, -7004017.92254422046244144 -899649.41189348325133324, -7004017.92254422046244144 -899822.40868835512083024, -7003926.33600575849413872 -899985.22920117562171072, -7003544.72542883548885584 -900361.75163707311730832))</t>
  </si>
  <si>
    <t>MultiLineString ((-7002252.33760832250118256 -901608.34618835535366088, -7001845.28632627055048943 -901903.45836784259881824))</t>
  </si>
  <si>
    <t>MultiLineString ((-7001519.64530062954872847 -902244.36381656059529632, -7001107.50587755255401134 -902493.68272681708913296, -7000919.24465960450470448 -902544.56413707346655428, -7000425.69498011656105518 -902676.85580374021083117, -7000033.90812114253640175 -903012.67311143258120865, -6999418.24305703956633806 -903582.54490630456712097))</t>
  </si>
  <si>
    <t>MultiLineString ((-7177463.94509598892182112 -781461.09130340535193682, -7176555.43605984374880791 -782481.17162469075992703))</t>
  </si>
  <si>
    <t>MultiLineString ((-7176288.46191325411200523 -782795.96203633735422045, -7174375.81131084449589252 -785481.64225722127594054))</t>
  </si>
  <si>
    <t>MultiLineString ((-7174320.02566827367991209 -785577.27478734182659537, -7171243.84594939835369587 -788262.95500822574831545))</t>
  </si>
  <si>
    <t>MultiLineString ((-7170901.16271646600216627 -788701.27077127806842327, -7169331.19534698780626059 -789394.60661465174052864))</t>
  </si>
  <si>
    <t>MultiLineString ((-7168956.6346040153875947 -789705.4123375432100147, -7167817.01362007949501276 -791578.21605240297503769))</t>
  </si>
  <si>
    <t>MultiLineString ((-7167697.47295742854475975 -791873.08302027452737093, -7167721.38108995836228132 -792048.40932549547869712))</t>
  </si>
  <si>
    <t>MultiLineString ((-7167713.41171244904398918 -792319.36816083686426282, -7167785.1361100384965539 -793841.51926525472663343))</t>
  </si>
  <si>
    <t>MultiLineString ((-7167952.4930377509444952 -794574.70199617859907448, -7166868.6576963858678937 -797826.2080202754586935))</t>
  </si>
  <si>
    <t>MultiLineString ((-7166741.14765622466802597 -798160.92187569721136242, -7166653.48450361378490925 -798431.88071103859692812))</t>
  </si>
  <si>
    <t>MultiLineString ((-7166533.94384096376597881 -800137.32749818742740899, -7166502.06633092369884253 -800240.92940581799484789))</t>
  </si>
  <si>
    <t>MultiLineString ((-7149037.1755176680162549 -884078.78081145428586751, -7149053.11427268851548433 -884118.62769900448620319))</t>
  </si>
  <si>
    <t>MultiLineString ((-7149077.02240521833300591 -884999.24391386413481086, -7149037.1755176680162549 -885114.79988775972742587))</t>
  </si>
  <si>
    <t>MultiLineString ((-7149037.1755176680162549 -885413.65154438628815114, -7149049.12958393339067698 -885501.31469699670560658))</t>
  </si>
  <si>
    <t>MultiLineString ((-7149069.05302770808339119 -885708.51851225784048438, -7149069.05302770808339119 -885756.33477731805760413))</t>
  </si>
  <si>
    <t>MultiLineString ((-7149061.08365019969642162 -885943.61514880415052176, -7149053.11427268944680691 -886059.17112269974313676))</t>
  </si>
  <si>
    <t>MultiLineString ((-7149057.09896144457161427 -886130.89552029012702405, -7149057.09896144457161427 -886226.52805041056126356))</t>
  </si>
  <si>
    <t>MultiLineString ((-7149045.14489517919719219 -886365.99215683632064611, -7149025.22145140450447798 -886481.54813073191326112, -7149025.22145140450447798 -886481.54813073191326112))</t>
  </si>
  <si>
    <t>MultiLineString ((-7149025.22145140450447798 -886597.10410462750587612, -7149061.08365019969642162 -886987.60360261960886419))</t>
  </si>
  <si>
    <t>MultiLineString ((-7149081.00709397345781326 -887254.57774920598603785, -7149116.86929276864975691 -887342.24090181640349329))</t>
  </si>
  <si>
    <t>MultiLineString ((-7149336.02717429492622614 -887700.86288976820651442, -7149435.64439317025244236 -887784.54135362373199314))</t>
  </si>
  <si>
    <t>MultiLineString ((-7149543.2309895558282733 -887975.80641386471688747, -7149587.06256586126983166 -888047.53081145510077477))</t>
  </si>
  <si>
    <t>MultiLineString ((-7149694.64916224684566259 -888254.73462671611923724, -7149786.2970036119222641 -888366.30591185670346022))</t>
  </si>
  <si>
    <t>MultiLineString ((-7149949.66924256831407547 -888557.57097209768835455, -7150117.02617027889937162 -888677.1116347482893616))</t>
  </si>
  <si>
    <t>MultiLineString ((-7150328.21467429492622614 -888944.08578133478295058, -7150431.81658192537724972 -889135.35084157576784492))</t>
  </si>
  <si>
    <t>MultiLineString ((-7150543.38786706514656544 -889414.27905442705377936, -7150551.35724457539618015 -889657.34506848338060081))</t>
  </si>
  <si>
    <t>MultiLineString ((-7150523.46442329045385122 -890366.619666876969859, -7150507.52566826995462179 -890450.29813073249533772))</t>
  </si>
  <si>
    <t>MultiLineString ((-7150407.90844939462840557 -891299.03683555184397846, -7150543.38786706514656544 -891681.56695603381376714))</t>
  </si>
  <si>
    <t>MultiLineString ((-7150551.35724457539618015 -891777.19948615436442196, -7150204.68932288885116577 -891892.75546004995703697, -7149925.76111003756523132 -891968.4645463953493163, -7149770.35824859142303467 -892183.63773916638456285, -7149754.41949357185512781 -892518.35159458813723177, -7149726.52667228598147631 -892849.08076125488150865, -7149467.52190321031957865 -892988.54486768064089119, -7149045.14489517733454704 -893367.09029940760228783))</t>
  </si>
  <si>
    <t>MultiLineString ((-7143902.90405682288110256 -855773.54424015816766769, -7143592.09833393152803183 -856251.70689076080452651))</t>
  </si>
  <si>
    <t>MultiLineString ((-7143480.52704879082739353 -856458.91070602205581963, -7143639.91459899116307497 -857048.64464176527690142))</t>
  </si>
  <si>
    <t>MultiLineString ((-7143703.66961907222867012 -857295.69534457672853023, -7144173.86289216484874487 -857861.52114778989925981))</t>
  </si>
  <si>
    <t>MultiLineString ((-7144237.61791224498301744 -857949.18430040031671524, -7144237.61791224498301744 -858060.75558554101735353))</t>
  </si>
  <si>
    <t>MultiLineString ((-7144205.74040220491588116 -858212.17375823180191219, -7144102.13849457446485758 -858475.16321606328710914))</t>
  </si>
  <si>
    <t>MultiLineString ((-7143998.53658694308251143 -858694.32109758956357837, -7143922.82750059757381678 -858801.9076939751394093))</t>
  </si>
  <si>
    <t>MultiLineString ((-7143711.63899658154696226 -859092.78997309179976583, -7143659.83804276585578918 -859180.45312570233363658))</t>
  </si>
  <si>
    <t>MultiLineString ((-7143592.09833393059670925 -859343.82536465814337134, -7143588.11364517547190189 -859439.45789477869402617))</t>
  </si>
  <si>
    <t>MultiLineString ((-7143544.28206887096166611 -859539.07511365425307304, -7143484.51173754502087831 -859618.76888875477015972))</t>
  </si>
  <si>
    <t>MultiLineString ((-7143329.10887610074132681 -860013.25307550234720111, -7144141.98538212478160858 -862420.005083535797894))</t>
  </si>
  <si>
    <t>MultiLineString ((-7144213.7097797142341733 -862667.05578634713310748, -7144333.25044236518442631 -865559.93982249335385859))</t>
  </si>
  <si>
    <t>MultiLineString ((-7144205.74040220398455858 -866253.27566586725879461, -7143544.28206887003034353 -869592.44484257593285292))</t>
  </si>
  <si>
    <t>MultiLineString ((-7143353.01700862962752581 -870429.2294811304891482, -7143281.29261103924363852 -870676.28018394182436168))</t>
  </si>
  <si>
    <t>MultiLineString ((-7143225.50696846842765808 -870771.91271406237501651, -7143129.87443834822624922 -870899.42275422310922295))</t>
  </si>
  <si>
    <t>MultiLineString ((-7143440.68016123957931995 -873417.74604739726055413, -7143337.07825360912829638 -874573.30578635376878083))</t>
  </si>
  <si>
    <t>MultiLineString ((-7143281.29261103831231594 -874868.17275422543752939, -7143177.69070340786129236 -875234.76411968749016523))</t>
  </si>
  <si>
    <t>MultiLineString ((-7142970.4868881469592452 -875744.80428033031057566, -7142747.34431786555796862 -876159.21191085258033127))</t>
  </si>
  <si>
    <t>MultiLineString ((-7142460.44672750402241945 -876717.06833655573427677, -7142412.63046244345605373 -876892.39464177668560296))</t>
  </si>
  <si>
    <t>MultiLineString ((-7142237.30415722262114286 -877243.04725221870467067, -7142093.85536204185336828 -877537.91422009037341923))</t>
  </si>
  <si>
    <t>MultiLineString ((-7141998.22283192072063684 -877705.27114780130796134, -7141862.74341425020247698 -878589.8720514161977917))</t>
  </si>
  <si>
    <t>MultiLineString ((-7141982.28407690115272999 -879466.50357752107083797, -7142054.00847449153661728 -879697.61552531237248331))</t>
  </si>
  <si>
    <t>MultiLineString ((-7112329.03192627616226673 -796469.79605051223188639, -7109390.26704532187432051 -801128.35259813454467803))</t>
  </si>
  <si>
    <t>Visible</t>
  </si>
  <si>
    <t>MultiLineString ((-7108003.96062170993536711 -801938.63905646849889308, -7107618.10992726590484381 -802203.22238980198744684))</t>
  </si>
  <si>
    <t>MultiLineString ((-7107133.04048282094299793 -802330.00190369097981602, -7106813.33562170900404453 -802495.36648702446836978))</t>
  </si>
  <si>
    <t>MultiLineString ((-7105181.73839948605746031 -803564.72412591415923089, -7104470.67069115210324526 -803961.59912591439206153))</t>
  </si>
  <si>
    <t>MultiLineString ((-7104354.91548281814903021 -803986.40381341450847685, -7103974.57694115117192268 -804231.69461202574893832, -7103800.94412865117192268 -804669.91075785923749208))</t>
  </si>
  <si>
    <t>MultiLineString ((-7103798.18805226217955351 -804818.73888285935390741, -7103734.79829531721770763 -805411.2953064707107842))</t>
  </si>
  <si>
    <t>MultiLineString ((-7103800.94412865024060011 -805546.34304952633101493, -7104018.67416337225586176 -806034.16857035981956869, -7104261.20888559520244598 -806472.38471619330812246, -7104258.45280920621007681 -806469.6286398044321686, -7104972.27659392822533846 -807483.86475091590546072))</t>
  </si>
  <si>
    <t>MultiLineString ((-7105156.93371198512613773 -807922.08089674939401448, -7105906.58648976311087608 -808715.83089674974326044))</t>
  </si>
  <si>
    <t>MultiLineString ((-7106182.19412865303456783 -810909.66770230617839843, -7106242.82780920807272196 -811477.4194384174188599, -7106292.43718420807272196 -811890.83089675102382898, -7106364.09517031908035278 -812436.53402175114024431, -7106397.16808698605746031 -812739.70242452912498266))</t>
  </si>
  <si>
    <t>MultiLineString ((-7106430.24100365489721298 -813842.13298008497804403, -7106424.72885087691247463 -814024.03402175172232091))</t>
  </si>
  <si>
    <t>MultiLineString ((-7106766.48232309892773628 -814624.85867452970705926, -7106997.99273976590484381 -814999.68506341869942844))</t>
  </si>
  <si>
    <t>MultiLineString ((-7107047.60211476590484381 -815060.31874397431965917, -7107130.28440643288195133 -815308.3656189744360745))</t>
  </si>
  <si>
    <t>MultiLineString ((-7108568.95628143288195133 -818108.53923008660785854, -7109087.09864254388958216 -818891.26492453133687377))</t>
  </si>
  <si>
    <t>MultiLineString ((-7112506.28772357758134604 -840083.4230335959000513, -7112202.01689024455845356 -841485.7147002627607435, -7111672.85022357758134604 -843245.19386692973785102, -7111567.01689024362713099 -844819.46470026322640479))</t>
  </si>
  <si>
    <t>MultiLineString ((-7111310.93802119512110949 -845841.89029550203122199, -7111133.28921167179942131 -846329.47958121646661311))</t>
  </si>
  <si>
    <t>MultiLineString ((-7111000.99754500482231379 -846911.5629145500715822, -7110948.08087833877652884 -847077.87243835953995585))</t>
  </si>
  <si>
    <t>MultiLineString ((-7110838.46778309997171164 -847459.62839074071962386, -7110589.00349738541990519 -848026.59267645515501499))</t>
  </si>
  <si>
    <t>MultiLineString ((-7110554.98564024362713099 -848136.20577169326134026, -7110422.69397357665002346 -848502.84267645527143031))</t>
  </si>
  <si>
    <t>MultiLineString ((-7110211.02730690967291594 -849326.83077169372700155, -7110063.61659262422472239 -849655.67005740816239268))</t>
  </si>
  <si>
    <t>MultiLineString ((-7110074.95587833877652884 -849825.75934312248136848, -7110040.93802119605243206 -850203.73553359881043434))</t>
  </si>
  <si>
    <t>MultiLineString ((-7110040.93802119605243206 -850358.70577169407624751, -7109995.58087833877652884 -850808.49743836082052439))</t>
  </si>
  <si>
    <t>MultiLineString ((-7110037.15825929027050734 -851008.82481931324582547, -7110037.15825929027050734 -851224.2712478848407045))</t>
  </si>
  <si>
    <t>MultiLineString ((-7109972.90230690967291594 -851458.61648598010651767, -7109870.84873548056930304 -851745.87839074211660773))</t>
  </si>
  <si>
    <t>MultiLineString ((-7109855.72968786209821701 -851923.52720026613678783, -7109806.59278309997171164 -852191.8902955042431131))</t>
  </si>
  <si>
    <t>MultiLineString ((-7109704.53921167086809874 -852717.27720026636961848, -7109651.62254500482231379 -853004.53910502837970853))</t>
  </si>
  <si>
    <t>MultiLineString ((-7109598.70587833784520626 -853182.18791455216705799, -7109519.33087833784520626 -853454.33077169512398541))</t>
  </si>
  <si>
    <t>MultiLineString ((-7109496.65230690967291594 -853586.62243836163543165, -7109481.53325929027050734 -853873.8843431236455217))</t>
  </si>
  <si>
    <t>MultiLineString ((-7109443.73564024269580841 -854244.3010097905062139, -7109337.90230690967291594 -855072.06886693357955664))</t>
  </si>
  <si>
    <t>MultiLineString ((-7109322.78325929027050734 -855143.88434312411118299, -7109266.08683071937412024 -855400.90815264801494777))</t>
  </si>
  <si>
    <t>MultiLineString ((-7109235.84873547963798046 -855525.64029550517443568, -7109216.94992595631629229 -855858.25934312434401363))</t>
  </si>
  <si>
    <t>MultiLineString ((-7109205.61064024176448584 -856088.82481931487563998, -7109194.27135452721267939 -856474.36053360078949481))</t>
  </si>
  <si>
    <t>MultiLineString ((-7109250.96778309810906649 -857453.31886693451087922, -7109262.30706881266087294 -857661.20577169652096927))</t>
  </si>
  <si>
    <t>MultiLineString ((-7109277.42611643206328154 -857838.85458122030831873, -7109303.88444976508617401 -858110.99743836326524615))</t>
  </si>
  <si>
    <t>MultiLineString ((-7109284.98564024083316326 -859335.64029550657141954, -7109243.40825928840786219 -860072.69386693532578647))</t>
  </si>
  <si>
    <t>MultiLineString ((-7109167.81302119325846434 -860692.57481931650545448, -7109092.21778309810906649 -860957.15815264999400824))</t>
  </si>
  <si>
    <t>MultiLineString ((-7109077.09873547870665789 -861028.97362884040921926, -7109027.96183071658015251 -861267.09862884052563459))</t>
  </si>
  <si>
    <t>MultiLineString ((-7108937.24754500295966864 -861663.97362884064204991, -7108850.31302119325846434 -861879.42005741212051362))</t>
  </si>
  <si>
    <t>MultiLineString ((-7108797.39635452628135681 -862393.46767645992804319, -7108729.36064024083316326 -862635.37243836477864534))</t>
  </si>
  <si>
    <t>MultiLineString ((-7108498.79516405053436756 -863848.67600979364942759, -7108468.55706881172955036 -864215.31291455565951765))</t>
  </si>
  <si>
    <t>MultiLineString ((-7108453.43802119325846434 -864272.00934312725439668, -7108430.75944976415485144 -864540.37243836547713727, -7108423.19992595538496971 -864789.83672407979611307))</t>
  </si>
  <si>
    <t>MultiLineString ((-7108423.19992595538496971 -864990.16410503233782947, -7108460.99754500295966864 -865288.76529550855048001))</t>
  </si>
  <si>
    <t>MultiLineString ((-7108570.61064024083316326 -866093.85458122298587114, -7108676.44397357385605574 -866634.36053360416553915))</t>
  </si>
  <si>
    <t>MultiLineString ((-7108702.90230690687894821 -866819.56886693753767759, -7108725.58087833598256111 -867084.15220027090981603))</t>
  </si>
  <si>
    <t>MultiLineString ((-7108729.36064024083316326 -867171.086724080494605, -7108733.14040214568376541 -867386.53315265197306871))</t>
  </si>
  <si>
    <t>MultiLineString ((-7108646.20587833598256111 -867915.69981931883376092, -7108608.40825928840786219 -868074.44981931883376092))</t>
  </si>
  <si>
    <t>MultiLineString ((-7108589.50944976508617401 -868153.82481931883376092, -7108547.93206881266087294 -868327.69386693800333887))</t>
  </si>
  <si>
    <t>MultiLineString ((-7108449.65825928840786219 -870508.61648598639294505, -7108423.19992595538496971 -870852.57481931988149881))</t>
  </si>
  <si>
    <t>MultiLineString ((-7108396.74159262143075466 -871071.80100979609414935, -7108389.18206881266087294 -871188.9736288437852636))</t>
  </si>
  <si>
    <t>MultiLineString ((-7108370.28325928840786219 -871336.38434312958270311, -7108351.38444976508617401 -871468.67600979632697999))</t>
  </si>
  <si>
    <t>MultiLineString ((-7108287.12849738355726004 -871842.8724383678054437, -7108234.21183071751147509 -872058.31886693928390741))</t>
  </si>
  <si>
    <t>MultiLineString ((-7108083.02135452628135681 -872198.17005741561297327, -7108139.71778309810906649 -872307.78315265371929854))</t>
  </si>
  <si>
    <t>MultiLineString ((-7108487.45587833598256111 -872670.64029551099520177, -7108604.62849738355726004 -872799.1522002728888765))</t>
  </si>
  <si>
    <t>MultiLineString ((-7108060.34278309624642134 -873146.89029551111161709, -7107928.05111643020063639 -873335.87839074933435768))</t>
  </si>
  <si>
    <t>MultiLineString ((-7107905.37254500109702349 -873422.81291455880273134, -7107799.53921166807413101 -873702.51529551134444773))</t>
  </si>
  <si>
    <t>MultiLineString ((-7107807.09873547777533531 -873778.1105336066102609, -7107799.53921166807413101 -874057.81291455903556198))</t>
  </si>
  <si>
    <t>MultiLineString ((-7107871.35468785837292671 -874401.77124789252411574, -7107935.61064023897051811 -874768.40815265453420579))</t>
  </si>
  <si>
    <t>MultiLineString ((-7107935.61064023897051811 -874817.54505741642788053, -7107954.50944976322352886 -875135.04505741654429585))</t>
  </si>
  <si>
    <t>MultiLineString ((-7107954.50944976322352886 -875138.82481932127848268, -7107977.18802119139581919 -875271.11648598802275956))</t>
  </si>
  <si>
    <t>MultiLineString ((-7107977.18802119139581919 -875278.67600979760754853, -7108083.02135452535003424 -875890.99743836920242757))</t>
  </si>
  <si>
    <t>MultiLineString ((-7108079.24159262049943209 -875951.4736288454150781, -7108094.36064023897051811 -876287.87243836931884289))</t>
  </si>
  <si>
    <t>MultiLineString ((-7108109.47968785837292671 -876476.86053360754158348, -7108075.46183071564882994 -876779.24148598860483617))</t>
  </si>
  <si>
    <t>MultiLineString ((-7108067.90230690594762564 -876877.51529551239218563, -7108120.81897357292473316 -877795.9974383699009195, -7108113.25944976322352886 -878087.03910503664519638, -7108143.49754500109702349 -878744.71767646539956331))</t>
  </si>
  <si>
    <t>MultiLineString ((-7108177.51540214475244284 -878786.29505741782486439, -7108347.60468785930424929 -879179.39029551320709288))</t>
  </si>
  <si>
    <t>MultiLineString ((-7108366.50349738262593746 -879213.40815265604760498, -7108544.15230690687894821 -879765.25339075142983347))</t>
  </si>
  <si>
    <t>MultiLineString ((-7108653.76540214568376541 -879946.68196218018420041, -7108895.67016405053436756 -880305.75934313260950148))</t>
  </si>
  <si>
    <t>MultiLineString ((-7108935.35766405053436756 -880351.11648599000182003, -7108990.16421166993677616 -880455.05993837094865739))</t>
  </si>
  <si>
    <t>MultiLineString ((-7110479.39040214568376541 -882208.86946218018420041, -7110653.25944976508617401 -882412.97660503734368831))</t>
  </si>
  <si>
    <t>MultiLineString ((-7110759.09278309810906649 -882511.25041456113103777, -7110974.53921166993677616 -882753.1551764658652246))</t>
  </si>
  <si>
    <t>MultiLineString ((-7112771.81599738355726004 -887054.52422408468555659, -7112831.34724738355726004 -887286.03464075142983347))</t>
  </si>
  <si>
    <t>MultiLineString ((-7112851.19099738355726004 -887378.63880741805769503, -7112851.19099738355726004 -887689.52422408468555659, -7112851.19099738355726004 -887987.18047408468555659, -7112950.40974738355726004 -888384.05547408468555659))</t>
  </si>
  <si>
    <t>MultiLineString ((-7124112.51912238076329231 -842812.88359907595440745, -7124337.41495571471750736 -844337.54505740886088461))</t>
  </si>
  <si>
    <t>MultiLineString ((-7124370.48787238076329231 -844519.44609907548874617, -7124390.33162238076329231 -844734.42005740874446929))</t>
  </si>
  <si>
    <t>MultiLineString ((-7124899.65453904774039984 -846110.25339074188377708, -7124936.03474738076329231 -846259.08151574188377708))</t>
  </si>
  <si>
    <t>MultiLineString ((-7124238.19620571378618479 -846682.4148490751395002, -7124135.67016404774039984 -846857.70130740839522332))</t>
  </si>
  <si>
    <t>MultiLineString ((-7126148.95990985818207264 -878528.66755004972219467, -7126008.39377721399068832 -878881.71737157448660582, -7125943.01418063510209322 -879146.50473771803081036))</t>
  </si>
  <si>
    <t>MultiLineString ((-7125893.97948320116847754 -879280.53291070437990129, -7125799.17906816210597754 -879630.31375240010675043))</t>
  </si>
  <si>
    <t>MultiLineString ((-7125756.68233038578182459 -879803.56968333362601697, -7125671.68885483406484127 -880078.16398896393366158))</t>
  </si>
  <si>
    <t>MultiLineString ((-7125652.07497586030513048 -880146.81256537151057273, -7125638.99905654508620501 -880271.03379887097980827))</t>
  </si>
  <si>
    <t>MultiLineString ((-7125616.11619774252176285 -880356.02727442339528352, -7125560.54354065004736185 -880624.08362039597705007))</t>
  </si>
  <si>
    <t>MultiLineString ((-7125534.39170201867818832 -881310.5693844718625769, -7125514.77782304491847754 -881545.9359321550000459))</t>
  </si>
  <si>
    <t>MultiLineString ((-7125482.08802475593984127 -881611.31552873365581036, -7125397.09454920422285795 -881778.0335000092163682))</t>
  </si>
  <si>
    <t>MultiLineString ((-7125364.40475091338157654 -882046.0898459815653041, -7125318.6390333091840148 -882216.07679708604700863))</t>
  </si>
  <si>
    <t>MultiLineString ((-7125295.75617450661957264 -882287.9943533226614818, -7125246.72147707268595695 -882454.71232459822203964))</t>
  </si>
  <si>
    <t>MultiLineString ((-7125240.18351741414517164 -882474.32620357174891979, -7125174.80392083525657654 -882670.46499330771621317))</t>
  </si>
  <si>
    <t>MultiLineString ((-7125119.23126374371349812 -882781.61030749150086194, -7125034.2377881919965148 -882990.82501654315274209))</t>
  </si>
  <si>
    <t>MultiLineString ((-7125037.50676802080124617 -883052.93563329288735986, -7124952.51329246815294027 -883621.73812352726235986))</t>
  </si>
  <si>
    <t>MultiLineString ((-7124936.16839332412928343 -883687.11772010591812432, -7124936.16839332412928343 -883883.2565098418854177))</t>
  </si>
  <si>
    <t>MultiLineString ((-7124906.74757486395537853 -884216.69245239300653338, -7124841.36797828506678343 -884671.08064861467573792))</t>
  </si>
  <si>
    <t>MultiLineString ((-7124838.09899845719337463 -884831.26066023262683302, -7124864.25083708856254816 -885079.70312723144888878))</t>
  </si>
  <si>
    <t>MultiLineString ((-7124753.10552290547639132 -885609.27785951865371317, -7124720.41572461556643248 -885717.15419387340079993))</t>
  </si>
  <si>
    <t>MultiLineString ((-7124707.339805300347507 -885772.72685096529312432, -7124730.22266410291194916 -886240.19096650276333094))</t>
  </si>
  <si>
    <t>MultiLineString ((-7124334.67610479984432459 -887083.58776236767880619, -7124174.49609318189322948 -887498.74820064241066575))</t>
  </si>
  <si>
    <t>MultiLineString ((-7124102.57853694632649422 -887595.18310559587553144, -7124011.04710173606872559 -887770.07352644391357899, -7123881.92239849269390106 -888137.83375719899777323, -7123850.86709011811763048 -888260.42050078406464309, -7123801.8323926841840148 -888646.16012059827335179, -7123772.41157422494143248 -888873.35421870928257704))</t>
  </si>
  <si>
    <t>MultiLineString ((-7123764.23912465199828148 -888999.20994212327059358, -7123760.97014482319355011 -889479.74997697665821761))</t>
  </si>
  <si>
    <t>MultiLineString ((-7123760.97014482412487268 -889476.48099714773707092, -7123726.64585661981254816 -889747.80632294923998415))</t>
  </si>
  <si>
    <t>MultiLineString ((-7123991.43322276137769222 -890686.00353385345079005, -7124220.2618107870221138 -890944.25294033926911652, -7124337.94508462864905596 -891297.30276186414994299))</t>
  </si>
  <si>
    <t>MultiLineString ((-7124347.75202411599457264 -891460.75175331090576947, -7124354.28998377360403538 -891728.80809928360395133))</t>
  </si>
  <si>
    <t>MultiLineString ((-7124344.48304428532719612 -892039.36118303227704018, -7124321.60018548276275396 -892163.58241653174627572))</t>
  </si>
  <si>
    <t>MultiLineString ((-7124279.10344770643860102 -892431.63876250444445759, -7124249.68262924626469612 -892729.115926937549375))</t>
  </si>
  <si>
    <t>MultiLineString ((-7124216.99283095635473728 -892853.33716043701861054, -7124154.88221420720219612 -893176.96616350149270147))</t>
  </si>
  <si>
    <t>MultiLineString ((-7124047.00587985198944807 -893497.32618673716206104, -7123880.28790857642889023 -894255.729507050011307))</t>
  </si>
  <si>
    <t>MultiLineString ((-7123834.52219097130000591 -894576.08953028556425124, -7123827.9842313127592206 -894827.80097711354028434))</t>
  </si>
  <si>
    <t>MultiLineString ((-7123814.90831199754029512 -895056.62956513895187527, -7123821.44627165514975786 -895291.99611282220575958))</t>
  </si>
  <si>
    <t>MultiLineString ((-7123877.01892874669283628 -895517.55572101869620383, -7123922.7846463518217206 -895671.19777297868859023))</t>
  </si>
  <si>
    <t>MultiLineString ((-7030589.14900656510144472 -892510.75003450678195804, -7029448.13338156510144472 -894875.46357617410831153))</t>
  </si>
  <si>
    <t>MultiLineString ((-7028993.3807773981243372 -895007.75524284073617309, -7027868.90161073114722967 -896901.17972200794611126, -7026562.5214023981243372 -898794.60420117503963411, -7025446.31046489719301462 -900506.1276386755052954, -7024892.3391107302159071 -901829.04430534248240292, -7024255.68546489626169205 -903573.64065950957592577))</t>
  </si>
  <si>
    <t>MultiLineString ((-7005045.72703139949589968 -897532.74522681604139507, -7004760.79113396350294352 -898133.14586784178391099, -7004486.03151857852935791 -898672.48881655978038907, -7004068.8039544764906168 -899252.53689348301850259, -7004028.09882627055048943 -899395.00484220101498067))</t>
  </si>
  <si>
    <t>MultiLineString ((-7003565.07799293845891953 -900346.4872139961225912, -7003478.57959550246596336 -900443.16189348325133324, -7003300.49465960450470448 -900524.5721498936181888, -7003025.73504421953111887 -900697.56894476537127048, -7002766.23985191248357296 -900962.15227809885982424, -7002501.65651857852935791 -901308.14586784248240292, -7002252.33760832250118256 -901608.34618835535366088))</t>
  </si>
  <si>
    <t>MultiLineString ((-7001845.28632627055048943 -901903.45836784259881824, -7001519.64530062954872847 -902249.45195758622139692))</t>
  </si>
  <si>
    <t>MultiLineString ((-7177623.33264618925750256 -781253.88748814433347434, -7177448.00634096842259169 -781445.15254838531836867))</t>
  </si>
  <si>
    <t>MultiLineString ((-7176555.43605984188616276 -782481.17162469075992703, -7176272.52315823547542095 -782787.99265882733743638))</t>
  </si>
  <si>
    <t>MultiLineString ((-7174399.7194433743134141 -785473.67287971125915647, -7174320.02566827461123466 -785585.24416485184337944))</t>
  </si>
  <si>
    <t>MultiLineString ((-7171251.81532690767198801 -788254.98563071573153138, -7170901.16271646600216627 -788685.33201625803485513))</t>
  </si>
  <si>
    <t>MultiLineString ((-7169331.19534698687493801 -789386.63723714160732925, -7168964.60398152470588684 -789713.38171505322679877))</t>
  </si>
  <si>
    <t>MultiLineString ((-7167824.9829975888133049 -791546.33854236279148608, -7167697.47295742854475975 -791889.02177529456093907))</t>
  </si>
  <si>
    <t>MultiLineString ((-7167729.35046746861189604 -792088.2562130456790328, -7167721.38108995836228132 -792343.27629336691461504))</t>
  </si>
  <si>
    <t>MultiLineString ((-7167793.10548755060881376 -793817.61113272467628121, -7167960.46241526119410992 -794574.70199617859907448))</t>
  </si>
  <si>
    <t>MultiLineString ((-7166860.68831887561827898 -797826.2080202754586935, -7166749.11703373491764069 -798152.95249818707816303))</t>
  </si>
  <si>
    <t>MultiLineString ((-7166645.51512610446661711 -798431.88071103859692812, -7166510.03570843394845724 -799276.63472710293717682))</t>
  </si>
  <si>
    <t>MultiLineString ((-7166518.00508594326674938 -799260.69597208290360868, -7166525.9744634535163641 -800129.35812067741062492))</t>
  </si>
  <si>
    <t>MultiLineString ((-7166510.03570843394845724 -800224.99065079796127975, -7166454.25006586313247681 -800639.39828132011462003))</t>
  </si>
  <si>
    <t>MultiLineString ((-7149304.14966425579041243 -881209.80490783939603716, -7149073.0377164650708437 -882524.75219699623994529, -7149041.16020642500370741 -884070.81143394426908344))</t>
  </si>
  <si>
    <t>MultiLineString ((-7149045.14489517826586962 -884118.62769900448620319, -7149073.03771646320819855 -884995.25922510912641883))</t>
  </si>
  <si>
    <t>MultiLineString ((-7149041.16020642314106226 -885114.79988775972742587, -7149041.16020642314106226 -885409.66685563127975911))</t>
  </si>
  <si>
    <t>MultiLineString ((-7149045.14489517826586962 -885501.31469699670560658, -7149065.06833895295858383 -885712.50320101284887642))</t>
  </si>
  <si>
    <t>MultiLineString ((-7149065.06833895295858383 -885752.3500885630492121, -7149057.09896144364029169 -885943.61514880403410643))</t>
  </si>
  <si>
    <t>MultiLineString ((-7149053.11427268944680691 -886031.27830141456797719, -7149053.11427268944680691 -886134.88020904513541609))</t>
  </si>
  <si>
    <t>MultiLineString ((-7149053.11427268944680691 -886222.54336165555287153, -7149041.16020642407238483 -886369.97684559132903814))</t>
  </si>
  <si>
    <t>MultiLineString ((-7149029.20614015962928534 -886473.57875322189647704, -7149025.22145140450447798 -886601.08879338251426816))</t>
  </si>
  <si>
    <t>MultiLineString ((-7149057.09896144457161427 -886983.61891386460047215, -7149081.00709397438913584 -887250.59306045097764581))</t>
  </si>
  <si>
    <t>MultiLineString ((-7149116.86929276864975691 -887338.25621306139510125, -7149328.05779678467661142 -887712.81695603334810585))</t>
  </si>
  <si>
    <t>MultiLineString ((-7149439.62908192537724972 -887784.54135362373199314, -7149543.2309895558282733 -887971.82172510970849544))</t>
  </si>
  <si>
    <t>MultiLineString ((-7149591.04725461639463902 -888059.48487772012595087, -7149694.64916224684566259 -888258.71931547112762928))</t>
  </si>
  <si>
    <t>MultiLineString ((-7149774.3429373474791646 -888370.29060061171185225, -7149953.65393132343888283 -888553.58628334267996252))</t>
  </si>
  <si>
    <t>MultiLineString ((-7150121.01085903402417898 -888677.1116347482893616, -7150320.24529678467661142 -888936.11640382464975119))</t>
  </si>
  <si>
    <t>MultiLineString ((-7150427.83189317025244236 -889131.36615282064303756, -7150547.37255582120269537 -889414.27905442717019469))</t>
  </si>
  <si>
    <t>MultiLineString ((-7150555.34193333052098751 -889617.49818093306384981, -7150523.46442329045385122 -890370.60435563209466636))</t>
  </si>
  <si>
    <t>MultiLineString ((-7150511.51035702507942915 -890446.31344197748694569, -7150411.89313814975321293 -891291.06745804182719439))</t>
  </si>
  <si>
    <t>MultiLineString ((-7150547.3725558202713728 -891685.55164478882215917, -7150567.29599959589540958 -891781.184174909372814))</t>
  </si>
  <si>
    <t>MultiLineString ((-7143950.72032188344746828 -855677.91171003761701286, -7143926.81218935269862413 -855765.57486264815088362))</t>
  </si>
  <si>
    <t>MultiLineString ((-7143592.09833393152803183 -856235.76813574077095836, -7143472.55767128057777882 -856435.00257349188905209))</t>
  </si>
  <si>
    <t>MultiLineString ((-7143647.88397650141268969 -857064.58339678542688489, -7143703.66961907222867012 -857311.63409959676209837))</t>
  </si>
  <si>
    <t>MultiLineString ((-7144197.77102469466626644 -857869.49052529991604388, -7144245.58728975523263216 -857933.2455453802831471))</t>
  </si>
  <si>
    <t>MultiLineString ((-7144229.64853473473340273 -858076.69434056105092168, -7144197.77102469466626644 -858220.14313574181869626))</t>
  </si>
  <si>
    <t>MultiLineString ((-7144102.13849457446485758 -858491.1019710834370926, -7143998.53658694308251143 -858690.33640883455518633))</t>
  </si>
  <si>
    <t>MultiLineString ((-7143898.9193680677562952 -858801.9076939751394093, -7143711.63899658154696226 -859084.82059558178298175))</t>
  </si>
  <si>
    <t>MultiLineString ((-7143667.8074202761054039 -859176.46843694720882922, -7143588.11364517547190189 -859355.77943092328496277))</t>
  </si>
  <si>
    <t>MultiLineString ((-7143592.09833393059670925 -859427.50382851366885006, -7143536.31269136071205139 -859535.090424899244681, -7143536.31269136071205139 -859535.090424899244681))</t>
  </si>
  <si>
    <t>MultiLineString ((-7143492.48111505527049303 -859610.79951124463696033, -7143301.21605481393635273 -860021.22245301201473922))</t>
  </si>
  <si>
    <t>MultiLineString ((-7144157.92413714341819286 -862412.03570602566469461, -7144213.7097797142341733 -862651.11703132709953934))</t>
  </si>
  <si>
    <t>MultiLineString ((-7144341.21981987450271845 -865567.90920000337064266, -7144213.7097797142341733 -866245.30628835712559521))</t>
  </si>
  <si>
    <t>MultiLineString ((-7143552.25144638027995825 -869592.44484257593285292, -7143337.07825360912829638 -870437.19885864062234759))</t>
  </si>
  <si>
    <t>MultiLineString ((-7143273.3232335289940238 -870660.34142892179079354, -7143241.44572348892688751 -870748.00458153232466429))</t>
  </si>
  <si>
    <t>MultiLineString ((-7143097.99692830815911293 -870907.39213173312600702, -7143026.27253071777522564 -870987.08590683364309371))</t>
  </si>
  <si>
    <t>MultiLineString ((-7143440.68016123957931995 -873138.81783454574178904, -7143440.68016123957931995 -873409.77666988724377006))</t>
  </si>
  <si>
    <t>MultiLineString ((-7143337.07825360912829638 -874589.24454137380234897, -7143281.29261103831231594 -874860.20337671530432999))</t>
  </si>
  <si>
    <t>MultiLineString ((-7143185.66008091811090708 -875234.76411968749016523, -7142978.45626565720885992 -875752.77365784032735974))</t>
  </si>
  <si>
    <t>MultiLineString ((-7142747.34431786555796862 -876159.21191085258033127, -7142460.44672750402241945 -876701.12958153570070863))</t>
  </si>
  <si>
    <t>MultiLineString ((-7142404.66108493320643902 -876900.36401928681880236, -7142261.21228975243866444 -877227.1084971985546872))</t>
  </si>
  <si>
    <t>MultiLineString ((-7142101.824739552102983 -877521.97546507022343576, -7141998.22283192165195942 -877705.27114780130796134))</t>
  </si>
  <si>
    <t>MultiLineString ((-7141862.74341425020247698 -878565.96391888603102416, -7141990.25345441047102213 -879458.5342000110540539))</t>
  </si>
  <si>
    <t>MultiLineString ((-7142046.03909698128700256 -879713.55428033252246678, -7142149.64100461173802614 -880032.32938073424156755))</t>
  </si>
  <si>
    <t>MultiLineString ((-7126584.95885856356471777 -877339.08208264177665114, -7126262.49792106356471777 -878265.12374930863734335))</t>
  </si>
  <si>
    <t>Sum of Length</t>
  </si>
  <si>
    <t>Column Labels</t>
  </si>
  <si>
    <t>Total Length</t>
  </si>
  <si>
    <t>Collapse Ratio</t>
  </si>
  <si>
    <t>Lava Tube Sequence</t>
  </si>
  <si>
    <t>Collapsed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</si>
</sst>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99999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rgb="FF999999"/>
      </left>
      <right style="medium">
        <color indexed="64"/>
      </right>
      <top style="thin">
        <color indexed="65"/>
      </top>
      <bottom/>
      <diagonal/>
    </border>
    <border>
      <left style="medium">
        <color indexed="64"/>
      </left>
      <right/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thin">
        <color indexed="65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99999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2" xfId="0" pivotButton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" fillId="2" borderId="8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7" xfId="0" applyFont="1" applyFill="1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2" borderId="22" xfId="0" applyFont="1" applyFill="1" applyBorder="1"/>
    <xf numFmtId="0" fontId="1" fillId="2" borderId="23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20"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 Plot</a:t>
            </a:r>
          </a:p>
          <a:p>
            <a:pPr>
              <a:defRPr/>
            </a:pPr>
            <a:r>
              <a:rPr lang="en-IN"/>
              <a:t>Collapse Ratio Vs Total Length of the Mapped Lava Tubes (10 tubes mapped)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Collapsed Vs Non Collap'!$E$21</c:f>
              <c:strCache>
                <c:ptCount val="1"/>
                <c:pt idx="0">
                  <c:v>Collapse Ratio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2126051293396758E-2"/>
                  <c:y val="-5.35863225430154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'Summary Collapsed Vs Non Collap'!$D$22:$D$31</c:f>
              <c:numCache>
                <c:formatCode>General</c:formatCode>
                <c:ptCount val="10"/>
                <c:pt idx="0">
                  <c:v>27129.252</c:v>
                </c:pt>
                <c:pt idx="1">
                  <c:v>49296.040999999997</c:v>
                </c:pt>
                <c:pt idx="2">
                  <c:v>4456.9449999999997</c:v>
                </c:pt>
                <c:pt idx="3">
                  <c:v>18655.072</c:v>
                </c:pt>
                <c:pt idx="4">
                  <c:v>12370.694</c:v>
                </c:pt>
                <c:pt idx="5">
                  <c:v>8355.737000000001</c:v>
                </c:pt>
                <c:pt idx="6">
                  <c:v>23245.691000000003</c:v>
                </c:pt>
                <c:pt idx="7">
                  <c:v>13149.253000000001</c:v>
                </c:pt>
                <c:pt idx="8">
                  <c:v>15570.125000000002</c:v>
                </c:pt>
                <c:pt idx="9">
                  <c:v>6919.6740000000009</c:v>
                </c:pt>
              </c:numCache>
            </c:numRef>
          </c:xVal>
          <c:yVal>
            <c:numRef>
              <c:f>'Summary Collapsed Vs Non Collap'!$E$22:$E$31</c:f>
              <c:numCache>
                <c:formatCode>0.00</c:formatCode>
                <c:ptCount val="10"/>
                <c:pt idx="0">
                  <c:v>0.56200963447130792</c:v>
                </c:pt>
                <c:pt idx="1">
                  <c:v>0.49470861159012752</c:v>
                </c:pt>
                <c:pt idx="2">
                  <c:v>0.45772698563702274</c:v>
                </c:pt>
                <c:pt idx="3">
                  <c:v>0.60084399567045366</c:v>
                </c:pt>
                <c:pt idx="4">
                  <c:v>0.97072023606759661</c:v>
                </c:pt>
                <c:pt idx="5">
                  <c:v>0.51441889566414067</c:v>
                </c:pt>
                <c:pt idx="6">
                  <c:v>0.23970214522768971</c:v>
                </c:pt>
                <c:pt idx="7">
                  <c:v>0.6270426920829647</c:v>
                </c:pt>
                <c:pt idx="8">
                  <c:v>0.25684893345429144</c:v>
                </c:pt>
                <c:pt idx="9">
                  <c:v>0.49065750785369361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BF-468D-AFDB-D4A2E7F1E857}"/>
            </c:ext>
          </c:extLst>
        </c:ser>
        <c:ser>
          <c:idx val="1"/>
          <c:order val="1"/>
          <c:tx>
            <c:strRef>
              <c:f>'Summary Collapsed Vs Non Collap'!$D$21</c:f>
              <c:strCache>
                <c:ptCount val="1"/>
                <c:pt idx="0">
                  <c:v>Total Length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3C6D74-1453-4870-8745-912016477AB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962-4F93-B532-27E9F3D4A9E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5B4693C-C8D6-4536-831F-FCBCEBF7F16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962-4F93-B532-27E9F3D4A9E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F812E6E-9E0A-4BCA-913C-20420424C70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962-4F93-B532-27E9F3D4A9E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F6BCF5A-CDB3-4632-B418-B58854CA0C6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962-4F93-B532-27E9F3D4A9E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D06B5C4-861C-4D3F-882A-4D55BB22F88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962-4F93-B532-27E9F3D4A9E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52C80A4-9D8B-4CCB-A624-A15E3ED5351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962-4F93-B532-27E9F3D4A9E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27E2953-D74C-4155-B4B4-04F1D24AB24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962-4F93-B532-27E9F3D4A9E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0717395-8908-476C-A646-43308DF9AA8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962-4F93-B532-27E9F3D4A9E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0B2FF16-3392-45E2-A520-DE0E79C5916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962-4F93-B532-27E9F3D4A9E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E66F9EB-319F-4621-ACDC-8C4C0B27577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962-4F93-B532-27E9F3D4A9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'Summary Collapsed Vs Non Collap'!$D$22:$D$31</c:f>
              <c:numCache>
                <c:formatCode>General</c:formatCode>
                <c:ptCount val="10"/>
                <c:pt idx="0">
                  <c:v>27129.252</c:v>
                </c:pt>
                <c:pt idx="1">
                  <c:v>49296.040999999997</c:v>
                </c:pt>
                <c:pt idx="2">
                  <c:v>4456.9449999999997</c:v>
                </c:pt>
                <c:pt idx="3">
                  <c:v>18655.072</c:v>
                </c:pt>
                <c:pt idx="4">
                  <c:v>12370.694</c:v>
                </c:pt>
                <c:pt idx="5">
                  <c:v>8355.737000000001</c:v>
                </c:pt>
                <c:pt idx="6">
                  <c:v>23245.691000000003</c:v>
                </c:pt>
                <c:pt idx="7">
                  <c:v>13149.253000000001</c:v>
                </c:pt>
                <c:pt idx="8">
                  <c:v>15570.125000000002</c:v>
                </c:pt>
                <c:pt idx="9">
                  <c:v>6919.6740000000009</c:v>
                </c:pt>
              </c:numCache>
            </c:numRef>
          </c:xVal>
          <c:yVal>
            <c:numRef>
              <c:f>'Summary Collapsed Vs Non Collap'!$E$22:$E$31</c:f>
              <c:numCache>
                <c:formatCode>0.00</c:formatCode>
                <c:ptCount val="10"/>
                <c:pt idx="0">
                  <c:v>0.56200963447130792</c:v>
                </c:pt>
                <c:pt idx="1">
                  <c:v>0.49470861159012752</c:v>
                </c:pt>
                <c:pt idx="2">
                  <c:v>0.45772698563702274</c:v>
                </c:pt>
                <c:pt idx="3">
                  <c:v>0.60084399567045366</c:v>
                </c:pt>
                <c:pt idx="4">
                  <c:v>0.97072023606759661</c:v>
                </c:pt>
                <c:pt idx="5">
                  <c:v>0.51441889566414067</c:v>
                </c:pt>
                <c:pt idx="6">
                  <c:v>0.23970214522768971</c:v>
                </c:pt>
                <c:pt idx="7">
                  <c:v>0.6270426920829647</c:v>
                </c:pt>
                <c:pt idx="8">
                  <c:v>0.25684893345429144</c:v>
                </c:pt>
                <c:pt idx="9">
                  <c:v>0.49065750785369361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'Summary Collapsed Vs Non Collap'!$A$22:$A$31</c15:f>
                <c15:dlblRangeCache>
                  <c:ptCount val="10"/>
                  <c:pt idx="0">
                    <c:v>L1</c:v>
                  </c:pt>
                  <c:pt idx="1">
                    <c:v>L2</c:v>
                  </c:pt>
                  <c:pt idx="2">
                    <c:v>L3</c:v>
                  </c:pt>
                  <c:pt idx="3">
                    <c:v>L4</c:v>
                  </c:pt>
                  <c:pt idx="4">
                    <c:v>L5</c:v>
                  </c:pt>
                  <c:pt idx="5">
                    <c:v>L6</c:v>
                  </c:pt>
                  <c:pt idx="6">
                    <c:v>L7</c:v>
                  </c:pt>
                  <c:pt idx="7">
                    <c:v>L8</c:v>
                  </c:pt>
                  <c:pt idx="8">
                    <c:v>L9</c:v>
                  </c:pt>
                  <c:pt idx="9">
                    <c:v>L10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BEBF-468D-AFDB-D4A2E7F1E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745808"/>
        <c:axId val="2003747248"/>
      </c:scatterChart>
      <c:valAx>
        <c:axId val="200374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length of the Lava</a:t>
                </a:r>
                <a:r>
                  <a:rPr lang="en-IN" baseline="0"/>
                  <a:t> Tube (in meters)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747248"/>
        <c:crosses val="autoZero"/>
        <c:crossBetween val="midCat"/>
      </c:valAx>
      <c:valAx>
        <c:axId val="20037472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Collapse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745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28256651690711643"/>
          <c:y val="0.89695889088419201"/>
          <c:w val="0.51962131158374547"/>
          <c:h val="7.6014072502685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Pits Width Vs Pits Type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Pits Width Vs Pits Type</a:t>
          </a:r>
        </a:p>
      </cx:txPr>
    </cx:title>
    <cx:plotArea>
      <cx:plotAreaRegion>
        <cx:series layoutId="boxWhisker" uniqueId="{DA7A685A-E83E-4E01-907E-A59540BD0058}">
          <cx:tx>
            <cx:txData>
              <cx:f>_xlchart.v1.4</cx:f>
              <cx:v>width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Pits Type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Pits Type</a:t>
              </a:r>
            </a:p>
          </cx:txPr>
        </cx:title>
        <cx:tickLabels/>
      </cx:axis>
      <cx:axis id="1">
        <cx:valScaling/>
        <cx:title>
          <cx:tx>
            <cx:txData>
              <cx:v>Pits  Width (minor axis)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Pits  Width (minor axis)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25</xdr:col>
      <xdr:colOff>142875</xdr:colOff>
      <xdr:row>12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6BBE7E6-F172-F459-8E26-6AD21A8D62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35600" y="819150"/>
              <a:ext cx="8562975" cy="4105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11</xdr:row>
      <xdr:rowOff>9525</xdr:rowOff>
    </xdr:from>
    <xdr:to>
      <xdr:col>17</xdr:col>
      <xdr:colOff>66676</xdr:colOff>
      <xdr:row>26</xdr:row>
      <xdr:rowOff>95249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45AD2D6-F58A-53B0-758D-AB98E2B62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142874</xdr:colOff>
      <xdr:row>24</xdr:row>
      <xdr:rowOff>180974</xdr:rowOff>
    </xdr:from>
    <xdr:to>
      <xdr:col>12</xdr:col>
      <xdr:colOff>590549</xdr:colOff>
      <xdr:row>26</xdr:row>
      <xdr:rowOff>19049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FFAA2F-3734-3D0C-682A-42573CF04710}"/>
            </a:ext>
          </a:extLst>
        </xdr:cNvPr>
        <xdr:cNvSpPr txBox="1"/>
      </xdr:nvSpPr>
      <xdr:spPr>
        <a:xfrm>
          <a:off x="8963024" y="4562474"/>
          <a:ext cx="1095375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tlCol="0" anchor="ctr" anchorCtr="1"/>
        <a:lstStyle/>
        <a:p>
          <a:r>
            <a:rPr lang="en-IN" sz="900"/>
            <a:t>Lava Tube No.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lavi Prasad" refreshedDate="46103.830021875001" createdVersion="8" refreshedVersion="8" minRefreshableVersion="3" recordCount="314" xr:uid="{418B93F6-A218-4FAC-A9E2-D6FB7EBF2E4F}">
  <cacheSource type="worksheet">
    <worksheetSource ref="B3:F317" sheet="Lava Tube Proj Attributes"/>
  </cacheSource>
  <cacheFields count="5">
    <cacheField name="wkt_geom" numFmtId="0">
      <sharedItems longText="1"/>
    </cacheField>
    <cacheField name="id" numFmtId="0">
      <sharedItems containsNonDate="0" containsString="0" containsBlank="1"/>
    </cacheField>
    <cacheField name="type" numFmtId="0">
      <sharedItems count="2">
        <s v="Inferred"/>
        <s v="Visible"/>
      </sharedItems>
    </cacheField>
    <cacheField name="Length" numFmtId="0">
      <sharedItems containsSemiMixedTypes="0" containsString="0" containsNumber="1" minValue="30.016999999999999" maxValue="9478.9030000000002"/>
    </cacheField>
    <cacheField name="Tube Seq" numFmtId="0">
      <sharedItems count="10">
        <s v="L1"/>
        <s v="L2"/>
        <s v="L3"/>
        <s v="L4"/>
        <s v="L5"/>
        <s v="L6"/>
        <s v="L7"/>
        <s v="L8"/>
        <s v="L9"/>
        <s v="L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">
  <r>
    <s v="MultiLineString ((-7109399.71645008400082588 -801100.00438384886365384, -7108010.65395008306950331 -801941.00140765903051943))"/>
    <m/>
    <x v="0"/>
    <n v="1584.2460000000001"/>
    <x v="0"/>
  </r>
  <r>
    <s v="MultiLineString ((-7107623.62208004295825958 -802192.19808424648363143, -7107127.52833004295825958 -802341.02620924660004675))"/>
    <m/>
    <x v="0"/>
    <n v="506.33199999999999"/>
    <x v="0"/>
  </r>
  <r>
    <s v="MultiLineString ((-7106807.82346893195062876 -802495.36648702446836978, -7105159.68978837504982948 -803570.23627869191113859))"/>
    <m/>
    <x v="0"/>
    <n v="1918.875"/>
    <x v="0"/>
  </r>
  <r>
    <s v="MultiLineString ((-7104476.18284392915666103 -803961.59912591450847685, -7104368.69586476217955351 -804002.94027174788061529))"/>
    <m/>
    <x v="0"/>
    <n v="112.512"/>
    <x v="0"/>
  </r>
  <r>
    <s v="MultiLineString ((-7103795.43197587318718433 -804669.91075785923749208, -7103795.43197587318718433 -804810.47065369260963053))"/>
    <m/>
    <x v="0"/>
    <n v="135.98599999999999"/>
    <x v="0"/>
  </r>
  <r>
    <s v="MultiLineString ((-7103734.79829531721770763 -805408.53923008183483034, -7103809.21235781721770763 -805560.1234314707107842))"/>
    <m/>
    <x v="0"/>
    <n v="163.71899999999999"/>
    <x v="0"/>
  </r>
  <r>
    <s v="MultiLineString ((-7104980.54482309613376856 -807486.62082730478141457, -7105151.42155920807272196 -807927.59304952726233751))"/>
    <m/>
    <x v="0"/>
    <n v="458.11500000000001"/>
    <x v="0"/>
  </r>
  <r>
    <s v="MultiLineString ((-7105912.09864254109561443 -808715.83089674962684512, -7106176.68197587504982948 -810904.1555495283100754))"/>
    <m/>
    <x v="0"/>
    <n v="2132.154"/>
    <x v="0"/>
  </r>
  <r>
    <s v="MultiLineString ((-7106391.65593420993536711 -812734.19027175114024431, -7106430.24100365489721298 -813836.620827307109721))"/>
    <m/>
    <x v="0"/>
    <n v="1066.6110000000001"/>
    <x v="0"/>
  </r>
  <r>
    <s v="MultiLineString ((-7106424.72885087691247463 -814024.03402175172232091, -7106749.94586476590484381 -814619.34652175195515156))"/>
    <m/>
    <x v="0"/>
    <n v="657.553"/>
    <x v="0"/>
  </r>
  <r>
    <s v="MultiLineString ((-7106992.48058698792010546 -814994.17291064094752073, -7107042.08996198792010546 -815082.36735508544370532))"/>
    <m/>
    <x v="0"/>
    <n v="98.093999999999994"/>
    <x v="0"/>
  </r>
  <r>
    <s v="MultiLineString ((-7107130.28440643288195133 -815308.3656189744360745, -7108574.46843421086668968 -818103.02707730885595083))"/>
    <m/>
    <x v="0"/>
    <n v="3048.154"/>
    <x v="0"/>
  </r>
  <r>
    <s v="MultiLineString ((-7111564.18206881452351809 -844825.13434312073513865, -7111303.37849738541990519 -845849.44981931149959564))"/>
    <m/>
    <x v="0"/>
    <n v="1020.453"/>
    <x v="1"/>
  </r>
  <r>
    <s v="MultiLineString ((-7111133.28921167179942131 -846329.47958121646661311, -7110997.21778309997171164 -846911.5629145500715822))"/>
    <m/>
    <x v="0"/>
    <n v="576.99900000000002"/>
    <x v="1"/>
  </r>
  <r>
    <s v="MultiLineString ((-7110944.30111643392592669 -847074.09267645492218435, -7110838.46778309997171164 -847459.62839074071962386))"/>
    <m/>
    <x v="0"/>
    <n v="385.96300000000002"/>
    <x v="1"/>
  </r>
  <r>
    <s v="MultiLineString ((-7110589.00349738635122776 -848026.59267645515501499, -7110551.20587833877652884 -848147.54505740758031607))"/>
    <m/>
    <x v="0"/>
    <n v="122.354"/>
    <x v="1"/>
  </r>
  <r>
    <s v="MultiLineString ((-7110426.47373548150062561 -848491.50339074095245451, -7110214.80706881452351809 -849326.83077169361058623))"/>
    <m/>
    <x v="0"/>
    <n v="831.721"/>
    <x v="1"/>
  </r>
  <r>
    <s v="MultiLineString ((-7110059.83683071937412024 -849648.1105335985776037, -7110067.39635452907532454 -849829.53910502721555531))"/>
    <m/>
    <x v="0"/>
    <n v="175.13800000000001"/>
    <x v="1"/>
  </r>
  <r>
    <s v="MultiLineString ((-7110037.15825929120182991 -850207.51529550354462117, -7110037.15825929120182991 -850347.36648597975727171))"/>
    <m/>
    <x v="0"/>
    <n v="134.87700000000001"/>
    <x v="1"/>
  </r>
  <r>
    <s v="MultiLineString ((-7109988.02135452814400196 -850808.49743836082052439, -7110037.15825929027050734 -851012.60458121809642762))"/>
    <m/>
    <x v="0"/>
    <n v="202.58699999999999"/>
    <x v="1"/>
  </r>
  <r>
    <s v="MultiLineString ((-7110033.37849738541990519 -851212.93196217052172869, -7109969.12254500482231379 -851458.61648598010651767))"/>
    <m/>
    <x v="0"/>
    <n v="245.07300000000001"/>
    <x v="1"/>
  </r>
  <r>
    <s v="MultiLineString ((-7109867.06897357571870089 -851734.53910502791404724, -7109851.94992595724761486 -851942.42600978992413729))"/>
    <m/>
    <x v="0"/>
    <n v="201.012"/>
    <x v="1"/>
  </r>
  <r>
    <s v="MultiLineString ((-7109810.37254500482231379 -852195.67005740897729993, -7109704.53921167086809874 -852717.27720026636961848))"/>
    <m/>
    <x v="0"/>
    <n v="513.45399999999995"/>
    <x v="1"/>
  </r>
  <r>
    <s v="MultiLineString ((-7109647.84278309997171164 -853008.31886693311389536, -7109598.70587833784520626 -853185.96767645701766014))"/>
    <m/>
    <x v="0"/>
    <n v="177.87"/>
    <x v="1"/>
  </r>
  <r>
    <s v="MultiLineString ((-7109519.33087833877652884 -853450.55100979015696794, -7109504.21183071937412024 -853582.84267645690124482))"/>
    <m/>
    <x v="0"/>
    <n v="128.40600000000001"/>
    <x v="1"/>
  </r>
  <r>
    <s v="MultiLineString ((-7109477.75349738635122776 -853873.8843431236455217, -7109443.73564024269580841 -854255.64029550470877439))"/>
    <m/>
    <x v="0"/>
    <n v="369.57"/>
    <x v="1"/>
  </r>
  <r>
    <s v="MultiLineString ((-7109337.90230690967291594 -855079.62839074316434562, -7109322.78325929027050734 -855140.10458121937699616))"/>
    <m/>
    <x v="0"/>
    <n v="60.139000000000003"/>
    <x v="1"/>
  </r>
  <r>
    <s v="MultiLineString ((-7109269.86659262422472239 -855393.34862883843015879, -7109235.84873548150062561 -855525.64029550517443568))"/>
    <m/>
    <x v="0"/>
    <n v="131.78"/>
    <x v="1"/>
  </r>
  <r>
    <s v="MultiLineString ((-7109216.94992595631629229 -855850.69981931487563998, -7109209.39040214661508799 -856092.60458121972624213))"/>
    <m/>
    <x v="0"/>
    <n v="233.32300000000001"/>
    <x v="1"/>
  </r>
  <r>
    <s v="MultiLineString ((-7109198.05111643206328154 -856478.14029550552368164, -7109254.74754500389099121 -857460.87839074397925287))"/>
    <m/>
    <x v="0"/>
    <n v="948.94600000000003"/>
    <x v="1"/>
  </r>
  <r>
    <s v="MultiLineString ((-7109262.30706881266087294 -857642.30696217261720449, -7109277.42611643206328154 -857850.19386693462729454))"/>
    <m/>
    <x v="0"/>
    <n v="200.928"/>
    <x v="1"/>
  </r>
  <r>
    <s v="MultiLineString ((-7109303.88444976508617401 -858103.4379145537968725, -7109284.98564024176448584 -859331.86053360183723271))"/>
    <m/>
    <x v="0"/>
    <n v="1184.165"/>
    <x v="1"/>
  </r>
  <r>
    <s v="MultiLineString ((-7109243.40825928840786219 -860068.91410503059159964, -7109167.81302119325846434 -860692.57481931650545448))"/>
    <m/>
    <x v="0"/>
    <n v="605.54499999999996"/>
    <x v="1"/>
  </r>
  <r>
    <s v="MultiLineString ((-7109088.43802119325846434 -860953.37839074514340609, -7109077.09873547870665789 -861032.75339074525982141))"/>
    <m/>
    <x v="0"/>
    <n v="77.287000000000006"/>
    <x v="1"/>
  </r>
  <r>
    <s v="MultiLineString ((-7109031.74159262143075466 -861267.09862884052563459, -7108933.46778309810906649 -861671.53315265011042356))"/>
    <m/>
    <x v="0"/>
    <n v="401.33100000000002"/>
    <x v="1"/>
  </r>
  <r>
    <s v="MultiLineString ((-7108850.31302119325846434 -861879.42005741212051362, -7108793.61659262143075466 -862393.46767645992804319))"/>
    <m/>
    <x v="0"/>
    <n v="498.41699999999997"/>
    <x v="1"/>
  </r>
  <r>
    <s v="MultiLineString ((-7108725.58087833598256111 -862627.81291455519385636, -7108506.35468785930424929 -863833.55696217459626496))"/>
    <m/>
    <x v="0"/>
    <n v="1181.258"/>
    <x v="1"/>
  </r>
  <r>
    <s v="MultiLineString ((-7108464.77730690781027079 -864207.75339074630755931, -7108449.65825928840786219 -864283.34862884157337248))"/>
    <m/>
    <x v="0"/>
    <n v="74.308000000000007"/>
    <x v="1"/>
  </r>
  <r>
    <s v="MultiLineString ((-7108419.42016405053436756 -864793.61648598464671522, -7108423.19992595538496971 -864986.38434312748722732))"/>
    <m/>
    <x v="0"/>
    <n v="185.755"/>
    <x v="1"/>
  </r>
  <r>
    <s v="MultiLineString ((-7108464.77730690781027079 -865292.54505741340108216, -7108570.61064024083316326 -866093.85458122310228646))"/>
    <m/>
    <x v="0"/>
    <n v="778.81399999999996"/>
    <x v="1"/>
  </r>
  <r>
    <s v="MultiLineString ((-7108676.44397357385605574 -866623.02124788984656334, -7108706.68206881172955036 -866830.90815265185665339))"/>
    <m/>
    <x v="0"/>
    <n v="202.41200000000001"/>
    <x v="1"/>
  </r>
  <r>
    <s v="MultiLineString ((-7108725.58087833598256111 -867084.15220027090981603, -7108725.58087833598256111 -867178.64624788996297866))"/>
    <m/>
    <x v="0"/>
    <n v="91.024000000000001"/>
    <x v="1"/>
  </r>
  <r>
    <s v="MultiLineString ((-7108733.14040214568376541 -867382.75339074723888189, -7108649.98564024083316326 -867911.92005741398315877))"/>
    <m/>
    <x v="0"/>
    <n v="516.10799999999995"/>
    <x v="1"/>
  </r>
  <r>
    <s v="MultiLineString ((-7108604.62849738355726004 -868066.89029550936538726, -7108589.50944976508617401 -868168.94386693788692355))"/>
    <m/>
    <x v="0"/>
    <n v="99.394999999999996"/>
    <x v="1"/>
  </r>
  <r>
    <s v="MultiLineString ((-7108547.93206881172955036 -868320.13434312853496522, -7108457.21778309717774391 -870519.95577170071192086))"/>
    <m/>
    <x v="0"/>
    <n v="2120.5230000000001"/>
    <x v="1"/>
  </r>
  <r>
    <s v="MultiLineString ((-7108430.75944976508617401 -870848.79505741514731199, -7108396.74159262143075466 -871083.14029551041312516))"/>
    <m/>
    <x v="0"/>
    <n v="228.09399999999999"/>
    <x v="1"/>
  </r>
  <r>
    <s v="MultiLineString ((-7108392.96183071751147509 -871196.53315265337005258, -7108374.06302119325846434 -871336.38434312958270311))"/>
    <m/>
    <x v="0"/>
    <n v="135.92599999999999"/>
    <x v="1"/>
  </r>
  <r>
    <s v="MultiLineString ((-7108347.60468786023557186 -871464.89624789147637784, -7108290.90825928840786219 -871846.65220027253963053))"/>
    <m/>
    <x v="0"/>
    <n v="371.73700000000002"/>
    <x v="1"/>
  </r>
  <r>
    <s v="MultiLineString ((-7108151.05706881266087294 -872307.78315265371929854, -7108491.23564024083316326 -872674.42005741572938859))"/>
    <m/>
    <x v="0"/>
    <n v="484.07400000000001"/>
    <x v="1"/>
  </r>
  <r>
    <s v="MultiLineString ((-7108237.99159262143075466 -872043.19981932023074478, -7108083.02135452628135681 -872194.39029551076237112))"/>
    <m/>
    <x v="0"/>
    <n v="209.66900000000001"/>
    <x v="1"/>
  </r>
  <r>
    <s v="MultiLineString ((-7108487.45587833505123854 -872768.91410503478255123, -7108052.78325928747653961 -873146.89029551111161709))"/>
    <m/>
    <x v="0"/>
    <n v="558.15700000000004"/>
    <x v="1"/>
  </r>
  <r>
    <s v="MultiLineString ((-7107928.05111643020063639 -873339.65815265406854451, -7107909.15230690594762564 -873422.81291455880273134))"/>
    <m/>
    <x v="0"/>
    <n v="82.152000000000001"/>
    <x v="1"/>
  </r>
  <r>
    <s v="MultiLineString ((-7107795.75944976322352886 -873694.95577170175965875, -7107810.87849738262593746 -873774.33077170187607408))"/>
    <m/>
    <x v="0"/>
    <n v="77.828000000000003"/>
    <x v="1"/>
  </r>
  <r>
    <s v="MultiLineString ((-7107795.75944976322352886 -874031.35458122566342354, -7107863.79516404867172241 -874397.99148598778992891))"/>
    <m/>
    <x v="0"/>
    <n v="359.15100000000001"/>
    <x v="1"/>
  </r>
  <r>
    <s v="MultiLineString ((-7107935.61064023897051811 -874753.28910503548104316, -7107935.61064023897051811 -874821.32481932116206735))"/>
    <m/>
    <x v="0"/>
    <n v="65.501000000000005"/>
    <x v="1"/>
  </r>
  <r>
    <s v="MultiLineString ((-7108086.80111643020063639 -875887.21767646446824074, -7108083.02135452535003424 -875951.4736288454150781))"/>
    <m/>
    <x v="0"/>
    <n v="61.966000000000001"/>
    <x v="1"/>
  </r>
  <r>
    <s v="MultiLineString ((-7108094.36064023897051811 -876280.31291455973405391, -7108109.47968785837292671 -876469.3010097979567945))"/>
    <m/>
    <x v="0"/>
    <n v="182.52"/>
    <x v="1"/>
  </r>
  <r>
    <s v="MultiLineString ((-7108071.68206881079822779 -876767.90220027428586036, -7108067.90230690594762564 -876877.51529551239218563))"/>
    <m/>
    <x v="0"/>
    <n v="105.578"/>
    <x v="1"/>
  </r>
  <r>
    <s v="MultiLineString ((-7108143.49754500202834606 -878737.15815265593118966, -7108185.07492595445364714 -878797.63434313214384019, -7108185.07492595445364714 -878797.63434313214384019))"/>
    <m/>
    <x v="0"/>
    <n v="70.888000000000005"/>
    <x v="1"/>
  </r>
  <r>
    <s v="MultiLineString ((-7108355.16421166807413101 -879179.39029551320709288, -7108362.72373547777533531 -879209.62839075131341815))"/>
    <m/>
    <x v="0"/>
    <n v="30.016999999999999"/>
    <x v="1"/>
  </r>
  <r>
    <s v="MultiLineString ((-7108555.49159262049943209 -879772.81291456101462245, -7108653.76540214475244284 -879954.24148598965257406))"/>
    <m/>
    <x v="0"/>
    <n v="199.07599999999999"/>
    <x v="1"/>
  </r>
  <r>
    <s v="MultiLineString ((-7108903.22968786023557186 -880301.97958122787531465, -7108933.46778309810906649 -880347.33672408503480256))"/>
    <m/>
    <x v="0"/>
    <n v="52.64"/>
    <x v="1"/>
  </r>
  <r>
    <s v="MultiLineString ((-7108986.38444976508617401 -880451.28017646598163992, -7110479.39040214568376541 -882208.86946218018420041))"/>
    <m/>
    <x v="0"/>
    <n v="2229.4989999999998"/>
    <x v="1"/>
  </r>
  <r>
    <s v="MultiLineString ((-7110653.25944976508617401 -882412.97660503734368831, -7110755.31302119325846434 -882503.69089075166266412))"/>
    <m/>
    <x v="0"/>
    <n v="132.19900000000001"/>
    <x v="1"/>
  </r>
  <r>
    <s v="MultiLineString ((-7110979.26391404867172241 -882735.201307418406941, -7112765.20141404867172241 -887061.13880741829052567))"/>
    <m/>
    <x v="0"/>
    <n v="4509.7089999999998"/>
    <x v="1"/>
  </r>
  <r>
    <s v="MultiLineString ((-7112811.50349738355726004 -887279.42005741805769503, -7112851.19099738355726004 -887358.79505741805769503))"/>
    <m/>
    <x v="0"/>
    <n v="85.549000000000007"/>
    <x v="1"/>
  </r>
  <r>
    <s v="MultiLineString ((-7124337.41495571471750736 -844321.00859907548874617, -7124370.48787238076329231 -844529.36797407548874617))"/>
    <m/>
    <x v="0"/>
    <n v="203.60400000000001"/>
    <x v="2"/>
  </r>
  <r>
    <s v="MultiLineString ((-7124393.63891404774039984 -844731.11276574223302305, -7124896.34724738076329231 -846106.94609907525591552))"/>
    <m/>
    <x v="0"/>
    <n v="1415.05"/>
    <x v="2"/>
  </r>
  <r>
    <s v="MultiLineString ((-7124929.42016404680907726 -846259.08151574188377708, -7124228.27433071378618479 -846685.72214074176736176))"/>
    <m/>
    <x v="0"/>
    <n v="798.22699999999998"/>
    <x v="2"/>
  </r>
  <r>
    <s v="MultiLineString ((-7126266.6431836998090148 -878273.68712339294143021, -7126155.49786951579153538 -878531.93652987864334136))"/>
    <m/>
    <x v="0"/>
    <n v="271.077"/>
    <x v="3"/>
  </r>
  <r>
    <s v="MultiLineString ((-7125939.74520080629736185 -879143.23575788910966367, -7125900.51744285970926285 -879280.53291070437990129))"/>
    <m/>
    <x v="0"/>
    <n v="137.54300000000001"/>
    <x v="3"/>
  </r>
  <r>
    <s v="MultiLineString ((-7125795.91008833330124617 -879627.04477257118560374, -7125756.68233038578182459 -879806.83866316254716367))"/>
    <m/>
    <x v="0"/>
    <n v="177.19300000000001"/>
    <x v="3"/>
  </r>
  <r>
    <s v="MultiLineString ((-7125668.4198750052601099 -880078.16398896393366158, -7125652.07497586030513048 -880156.61950485839042813))"/>
    <m/>
    <x v="0"/>
    <n v="77.16"/>
    <x v="3"/>
  </r>
  <r>
    <s v="MultiLineString ((-7125635.73007671628147364 -880271.03379887121263891, -7125619.38517757132649422 -880356.02727442339528352))"/>
    <m/>
    <x v="0"/>
    <n v="83.325999999999993"/>
    <x v="3"/>
  </r>
  <r>
    <s v="MultiLineString ((-7125557.27456082124263048 -880620.81464056705590338, -7125534.39170201867818832 -881307.30040464294143021))"/>
    <m/>
    <x v="0"/>
    <n v="660.98599999999999"/>
    <x v="3"/>
  </r>
  <r>
    <s v="MultiLineString ((-7125514.77782304491847754 -881542.6669523260788992, -7125482.08802475593984127 -881621.12246822041925043))"/>
    <m/>
    <x v="0"/>
    <n v="81.921000000000006"/>
    <x v="3"/>
  </r>
  <r>
    <s v="MultiLineString ((-7125393.82556937448680401 -881771.49554035137407482, -7125364.40475091431289911 -882042.82086615287698805))"/>
    <m/>
    <x v="0"/>
    <n v="262.64499999999998"/>
    <x v="3"/>
  </r>
  <r>
    <s v="MultiLineString ((-7125321.90801313798874617 -882212.80781725712586194, -7125292.4871946768835187 -882294.53231298050377518))"/>
    <m/>
    <x v="0"/>
    <n v="83.683999999999997"/>
    <x v="3"/>
  </r>
  <r>
    <s v="MultiLineString ((-7125249.99045690149068832 -882444.90538511134218425, -7125230.37657792773097754 -882490.67110271647106856))"/>
    <m/>
    <x v="0"/>
    <n v="47.993000000000002"/>
    <x v="3"/>
  </r>
  <r>
    <s v="MultiLineString ((-7125178.07290066499263048 -882670.46499330771621317, -7125115.96228391490876675 -882801.22418646502774209))"/>
    <m/>
    <x v="0"/>
    <n v="139.572"/>
    <x v="3"/>
  </r>
  <r>
    <s v="MultiLineString ((-7125034.2377881919965148 -882984.28705688531044871, -7125034.2377881919965148 -883066.01155260868836194))"/>
    <m/>
    <x v="0"/>
    <n v="78.632000000000005"/>
    <x v="3"/>
  </r>
  <r>
    <s v="MultiLineString ((-7124952.51329246815294027 -883621.73812352726235986, -7124945.97533281054347754 -883706.73159907944500446))"/>
    <m/>
    <x v="0"/>
    <n v="82.021000000000001"/>
    <x v="3"/>
  </r>
  <r>
    <s v="MultiLineString ((-7124929.63043366651982069 -883879.98753001296427101, -7124906.74757486395537853 -884223.23041205096524209))"/>
    <m/>
    <x v="0"/>
    <n v="330.98"/>
    <x v="3"/>
  </r>
  <r>
    <s v="MultiLineString ((-7124838.09899845626205206 -884667.81166878575459123, -7124841.36797828506678343 -884837.79861989035271108))"/>
    <m/>
    <x v="0"/>
    <n v="163.565"/>
    <x v="3"/>
  </r>
  <r>
    <s v="MultiLineString ((-7124864.25083708856254816 -885073.16516757372301072, -7124753.10552290547639132 -885609.27785951865371317))"/>
    <m/>
    <x v="0"/>
    <n v="526.94899999999996"/>
    <x v="3"/>
  </r>
  <r>
    <s v="MultiLineString ((-7124720.41572461556643248 -885710.61623421555850655, -7124704.07082547154277563 -885769.45787113637197763))"/>
    <m/>
    <x v="0"/>
    <n v="58.793999999999997"/>
    <x v="3"/>
  </r>
  <r>
    <s v="MultiLineString ((-7124730.22266410291194916 -886236.9219866736093536, -7124632.15326923504471779 -886429.79179658077191561, -7124458.89733830094337463 -886688.04120306659024209, -7124409.86264086700975895 -886807.35896682261954993, -7124329.77263505849987268 -887103.20164134120568633))"/>
    <m/>
    <x v="0"/>
    <n v="928.10299999999995"/>
    <x v="3"/>
  </r>
  <r>
    <s v="MultiLineString ((-7124171.22711335308849812 -887500.38269055681303144, -7124107.48200668953359127 -887591.91412576707080007))"/>
    <m/>
    <x v="0"/>
    <n v="107.675"/>
    <x v="3"/>
  </r>
  <r>
    <s v="MultiLineString ((-7123772.41157422494143248 -888870.08523888036143035, -7123765.87361456733196974 -889023.72729084023740143))"/>
    <m/>
    <x v="0"/>
    <n v="147.90100000000001"/>
    <x v="3"/>
  </r>
  <r>
    <s v="MultiLineString ((-7123726.64585661794990301 -889751.07530277816113085, -7123988.16424293257296085 -890699.07945316913537681))"/>
    <m/>
    <x v="0"/>
    <n v="946.45"/>
    <x v="3"/>
  </r>
  <r>
    <s v="MultiLineString ((-7124334.67610479984432459 -891294.0337820352287963, -7124354.28998377360403538 -891477.09665245562791824))"/>
    <m/>
    <x v="0"/>
    <n v="177.05799999999999"/>
    <x v="3"/>
  </r>
  <r>
    <s v="MultiLineString ((-7124357.5589636005461216 -891725.53911945456638932, -7124344.48304428532719612 -892042.63016286119818687))"/>
    <m/>
    <x v="0"/>
    <n v="305.15899999999999"/>
    <x v="3"/>
  </r>
  <r>
    <s v="MultiLineString ((-7124328.1381451403722167 -892153.77547704498283565, -7124285.64140736404806376 -892457.79060113593004644))"/>
    <m/>
    <x v="0"/>
    <n v="295.21699999999998"/>
    <x v="3"/>
  </r>
  <r>
    <s v="MultiLineString ((-7124249.68262924626469612 -892729.115926937549375, -7124210.45487129874527454 -892879.48899906850419939))"/>
    <m/>
    <x v="0"/>
    <n v="149.524"/>
    <x v="3"/>
  </r>
  <r>
    <s v="MultiLineString ((-7124145.07527471985667944 -893176.96616350160911679, -7124040.46792019344866276 -893507.13312622392550111))"/>
    <m/>
    <x v="0"/>
    <n v="333.32299999999998"/>
    <x v="3"/>
  </r>
  <r>
    <s v="MultiLineString ((-7123886.82586823403835297 -894245.92256756313145161, -7123837.79117080010473728 -894582.62748994340654463))"/>
    <m/>
    <x v="0"/>
    <n v="327.18299999999999"/>
    <x v="3"/>
  </r>
  <r>
    <s v="MultiLineString ((-7123831.25321114249527454 -894827.80097711354028434, -7123818.17729182634502649 -895063.16752479679416865))"/>
    <m/>
    <x v="0"/>
    <n v="226.619"/>
    <x v="3"/>
  </r>
  <r>
    <s v="MultiLineString ((-7123824.71525148395448923 -895291.99611282220575958, -7123877.01892874669283628 -895533.9006201634183526))"/>
    <m/>
    <x v="0"/>
    <n v="238.03100000000001"/>
    <x v="3"/>
  </r>
  <r>
    <s v="MultiLineString ((-7029415.0604648981243372 -894867.19534700736403465, -7029084.33129823114722967 -895040.82815950748044997))"/>
    <m/>
    <x v="0"/>
    <n v="362.21100000000001"/>
    <x v="4"/>
  </r>
  <r>
    <s v="MultiLineString ((-7004033.18696729745715857 -899395.004842201131396, -7004017.92254422046244144 -899649.41189348325133324, -7004017.92254422046244144 -899822.40868835512083024, -7003926.33600575849413872 -899985.22920117562171072, -7003544.72542883548885584 -900361.75163707311730832))"/>
    <m/>
    <x v="0"/>
    <n v="1109.23"/>
    <x v="5"/>
  </r>
  <r>
    <s v="MultiLineString ((-7002252.33760832250118256 -901608.34618835535366088, -7001845.28632627055048943 -901903.45836784259881824))"/>
    <m/>
    <x v="0"/>
    <n v="486.59199999999998"/>
    <x v="5"/>
  </r>
  <r>
    <s v="MultiLineString ((-7001519.64530062954872847 -902244.36381656059529632, -7001107.50587755255401134 -902493.68272681708913296, -7000919.24465960450470448 -902544.56413707346655428, -7000425.69498011656105518 -902676.85580374021083117, -7000033.90812114253640175 -903012.67311143258120865, -6999418.24305703956633806 -903582.54490630456712097))"/>
    <m/>
    <x v="0"/>
    <n v="2461.5659999999998"/>
    <x v="5"/>
  </r>
  <r>
    <s v="MultiLineString ((-7177463.94509598892182112 -781461.09130340535193682, -7176555.43605984374880791 -782481.17162469075992703))"/>
    <m/>
    <x v="0"/>
    <n v="1330.152"/>
    <x v="6"/>
  </r>
  <r>
    <s v="MultiLineString ((-7176288.46191325411200523 -782795.96203633735422045, -7174375.81131084449589252 -785481.64225722127594054))"/>
    <m/>
    <x v="0"/>
    <n v="3206.3440000000001"/>
    <x v="6"/>
  </r>
  <r>
    <s v="MultiLineString ((-7174320.02566827367991209 -785577.27478734182659537, -7171243.84594939835369587 -788262.95500822574831545))"/>
    <m/>
    <x v="0"/>
    <n v="3980.7040000000002"/>
    <x v="6"/>
  </r>
  <r>
    <s v="MultiLineString ((-7170901.16271646600216627 -788701.27077127806842327, -7169331.19534698780626059 -789394.60661465174052864))"/>
    <m/>
    <x v="0"/>
    <n v="1677.7950000000001"/>
    <x v="6"/>
  </r>
  <r>
    <s v="MultiLineString ((-7168956.6346040153875947 -789705.4123375432100147, -7167817.01362007949501276 -791578.21605240297503769))"/>
    <m/>
    <x v="0"/>
    <n v="2129.4169999999999"/>
    <x v="6"/>
  </r>
  <r>
    <s v="MultiLineString ((-7167697.47295742854475975 -791873.08302027452737093, -7167721.38108995836228132 -792048.40932549547869712))"/>
    <m/>
    <x v="0"/>
    <n v="171.37200000000001"/>
    <x v="6"/>
  </r>
  <r>
    <s v="MultiLineString ((-7167713.41171244904398918 -792319.36816083686426282, -7167785.1361100384965539 -793841.51926525472663343))"/>
    <m/>
    <x v="0"/>
    <n v="1475.4349999999999"/>
    <x v="6"/>
  </r>
  <r>
    <s v="MultiLineString ((-7167952.4930377509444952 -794574.70199617859907448, -7166868.6576963858678937 -797826.2080202754586935))"/>
    <m/>
    <x v="0"/>
    <n v="3321.4949999999999"/>
    <x v="6"/>
  </r>
  <r>
    <s v="MultiLineString ((-7166741.14765622466802597 -798160.92187569721136242, -7166653.48450361378490925 -798431.88071103859692812))"/>
    <m/>
    <x v="0"/>
    <n v="275.93299999999999"/>
    <x v="6"/>
  </r>
  <r>
    <s v="MultiLineString ((-7166533.94384096376597881 -800137.32749818742740899, -7166502.06633092369884253 -800240.92940581799484789))"/>
    <m/>
    <x v="0"/>
    <n v="105.002"/>
    <x v="6"/>
  </r>
  <r>
    <s v="MultiLineString ((-7149037.1755176680162549 -884078.78081145428586751, -7149053.11427268851548433 -884118.62769900448620319))"/>
    <m/>
    <x v="0"/>
    <n v="41.353000000000002"/>
    <x v="7"/>
  </r>
  <r>
    <s v="MultiLineString ((-7149077.02240521833300591 -884999.24391386413481086, -7149037.1755176680162549 -885114.79988775972742587))"/>
    <m/>
    <x v="0"/>
    <n v="117.73"/>
    <x v="7"/>
  </r>
  <r>
    <s v="MultiLineString ((-7149037.1755176680162549 -885413.65154438628815114, -7149049.12958393339067698 -885501.31469699670560658))"/>
    <m/>
    <x v="0"/>
    <n v="85.129000000000005"/>
    <x v="7"/>
  </r>
  <r>
    <s v="MultiLineString ((-7149069.05302770808339119 -885708.51851225784048438, -7149069.05302770808339119 -885756.33477731805760413))"/>
    <m/>
    <x v="0"/>
    <n v="45.997999999999998"/>
    <x v="7"/>
  </r>
  <r>
    <s v="MultiLineString ((-7149061.08365019969642162 -885943.61514880415052176, -7149053.11427268944680691 -886059.17112269974313676))"/>
    <m/>
    <x v="0"/>
    <n v="111.429"/>
    <x v="7"/>
  </r>
  <r>
    <s v="MultiLineString ((-7149057.09896144457161427 -886130.89552029012702405, -7149057.09896144457161427 -886226.52805041056126356))"/>
    <m/>
    <x v="0"/>
    <n v="91.992999999999995"/>
    <x v="7"/>
  </r>
  <r>
    <s v="MultiLineString ((-7149045.14489517919719219 -886365.99215683632064611, -7149025.22145140450447798 -886481.54813073191326112, -7149025.22145140450447798 -886481.54813073191326112))"/>
    <m/>
    <x v="0"/>
    <n v="112.83199999999999"/>
    <x v="7"/>
  </r>
  <r>
    <s v="MultiLineString ((-7149025.22145140450447798 -886597.10410462750587612, -7149061.08365019969642162 -886987.60360261960886419))"/>
    <m/>
    <x v="0"/>
    <n v="377.23599999999999"/>
    <x v="7"/>
  </r>
  <r>
    <s v="MultiLineString ((-7149081.00709397345781326 -887254.57774920598603785, -7149116.86929276864975691 -887342.24090181640349329))"/>
    <m/>
    <x v="0"/>
    <n v="91.248000000000005"/>
    <x v="7"/>
  </r>
  <r>
    <s v="MultiLineString ((-7149336.02717429492622614 -887700.86288976820651442, -7149435.64439317025244236 -887784.54135362373199314))"/>
    <m/>
    <x v="0"/>
    <n v="125.94799999999999"/>
    <x v="7"/>
  </r>
  <r>
    <s v="MultiLineString ((-7149543.2309895558282733 -887975.80641386471688747, -7149587.06256586126983166 -888047.53081145510077477))"/>
    <m/>
    <x v="0"/>
    <n v="81.091999999999999"/>
    <x v="7"/>
  </r>
  <r>
    <s v="MultiLineString ((-7149694.64916224684566259 -888254.73462671611923724, -7149786.2970036119222641 -888366.30591185670346022))"/>
    <m/>
    <x v="0"/>
    <n v="139.49199999999999"/>
    <x v="7"/>
  </r>
  <r>
    <s v="MultiLineString ((-7149949.66924256831407547 -888557.57097209768835455, -7150117.02617027889937162 -888677.1116347482893616))"/>
    <m/>
    <x v="0"/>
    <n v="199.25800000000001"/>
    <x v="7"/>
  </r>
  <r>
    <s v="MultiLineString ((-7150328.21467429492622614 -888944.08578133478295058, -7150431.81658192537724972 -889135.35084157576784492))"/>
    <m/>
    <x v="0"/>
    <n v="209.727"/>
    <x v="7"/>
  </r>
  <r>
    <s v="MultiLineString ((-7150543.38786706514656544 -889414.27905442705377936, -7150551.35724457539618015 -889657.34506848338060081))"/>
    <m/>
    <x v="0"/>
    <n v="233.886"/>
    <x v="7"/>
  </r>
  <r>
    <s v="MultiLineString ((-7150523.46442329045385122 -890366.619666876969859, -7150507.52566826995462179 -890450.29813073249533772))"/>
    <m/>
    <x v="0"/>
    <n v="81.947000000000003"/>
    <x v="7"/>
  </r>
  <r>
    <s v="MultiLineString ((-7150407.90844939462840557 -891299.03683555184397846, -7150543.38786706514656544 -891681.56695603381376714))"/>
    <m/>
    <x v="0"/>
    <n v="390.69900000000001"/>
    <x v="7"/>
  </r>
  <r>
    <s v="MultiLineString ((-7150551.35724457539618015 -891777.19948615436442196, -7150204.68932288885116577 -891892.75546004995703697, -7149925.76111003756523132 -891968.4645463953493163, -7149770.35824859142303467 -892183.63773916638456285, -7149754.41949357185512781 -892518.35159458813723177, -7149726.52667228598147631 -892849.08076125488150865, -7149467.52190321031957865 -892988.54486768064089119, -7149045.14489517733454704 -893367.09029940760228783))"/>
    <m/>
    <x v="0"/>
    <n v="2367.1129999999998"/>
    <x v="7"/>
  </r>
  <r>
    <s v="MultiLineString ((-7143902.90405682288110256 -855773.54424015816766769, -7143592.09833393152803183 -856251.70689076080452651))"/>
    <m/>
    <x v="0"/>
    <n v="551.61800000000005"/>
    <x v="8"/>
  </r>
  <r>
    <s v="MultiLineString ((-7143480.52704879082739353 -856458.91070602205581963, -7143639.91459899116307497 -857048.64464176527690142))"/>
    <m/>
    <x v="0"/>
    <n v="589.34400000000005"/>
    <x v="8"/>
  </r>
  <r>
    <s v="MultiLineString ((-7143703.66961907222867012 -857295.69534457672853023, -7144173.86289216484874487 -857861.52114778989925981))"/>
    <m/>
    <x v="0"/>
    <n v="712.39499999999998"/>
    <x v="8"/>
  </r>
  <r>
    <s v="MultiLineString ((-7144237.61791224498301744 -857949.18430040031671524, -7144237.61791224498301744 -858060.75558554101735353))"/>
    <m/>
    <x v="0"/>
    <n v="107.544"/>
    <x v="8"/>
  </r>
  <r>
    <s v="MultiLineString ((-7144205.74040220491588116 -858212.17375823180191219, -7144102.13849457446485758 -858475.16321606328710914))"/>
    <m/>
    <x v="0"/>
    <n v="272.86099999999999"/>
    <x v="8"/>
  </r>
  <r>
    <s v="MultiLineString ((-7143998.53658694308251143 -858694.32109758956357837, -7143922.82750059757381678 -858801.9076939751394093))"/>
    <m/>
    <x v="0"/>
    <n v="127.26900000000001"/>
    <x v="8"/>
  </r>
  <r>
    <s v="MultiLineString ((-7143711.63899658154696226 -859092.78997309179976583, -7143659.83804276585578918 -859180.45312570233363658))"/>
    <m/>
    <x v="0"/>
    <n v="98.424999999999997"/>
    <x v="8"/>
  </r>
  <r>
    <s v="MultiLineString ((-7143592.09833393059670925 -859343.82536465814337134, -7143588.11364517547190189 -859439.45789477869402617))"/>
    <m/>
    <x v="0"/>
    <n v="92.253"/>
    <x v="8"/>
  </r>
  <r>
    <s v="MultiLineString ((-7143544.28206887096166611 -859539.07511365425307304, -7143484.51173754502087831 -859618.76888875477015972))"/>
    <m/>
    <x v="0"/>
    <n v="96.397000000000006"/>
    <x v="8"/>
  </r>
  <r>
    <s v="MultiLineString ((-7143329.10887610074132681 -860013.25307550234720111, -7144141.98538212478160858 -862420.005083535797894))"/>
    <m/>
    <x v="0"/>
    <n v="2450.8690000000001"/>
    <x v="8"/>
  </r>
  <r>
    <s v="MultiLineString ((-7144213.7097797142341733 -862667.05578634713310748, -7144333.25044236518442631 -865559.93982249335385859))"/>
    <m/>
    <x v="0"/>
    <n v="2789.6770000000001"/>
    <x v="8"/>
  </r>
  <r>
    <s v="MultiLineString ((-7144205.74040220398455858 -866253.27566586725879461, -7143544.28206887003034353 -869592.44484257593285292))"/>
    <m/>
    <x v="0"/>
    <n v="3280.2350000000001"/>
    <x v="8"/>
  </r>
  <r>
    <s v="MultiLineString ((-7143353.01700862962752581 -870429.2294811304891482, -7143281.29261103924363852 -870676.28018394182436168))"/>
    <m/>
    <x v="0"/>
    <n v="247.958"/>
    <x v="8"/>
  </r>
  <r>
    <s v="MultiLineString ((-7143225.50696846842765808 -870771.91271406237501651, -7143129.87443834822624922 -870899.42275422310922295))"/>
    <m/>
    <x v="0"/>
    <n v="154.11000000000001"/>
    <x v="8"/>
  </r>
  <r>
    <s v="MultiLineString ((-7143440.68016123957931995 -873417.74604739726055413, -7143337.07825360912829638 -874573.30578635376878083))"/>
    <m/>
    <x v="0"/>
    <n v="1117.1310000000001"/>
    <x v="9"/>
  </r>
  <r>
    <s v="MultiLineString ((-7143281.29261103831231594 -874868.17275422543752939, -7143177.69070340786129236 -875234.76411968749016523))"/>
    <m/>
    <x v="0"/>
    <n v="367.05200000000002"/>
    <x v="9"/>
  </r>
  <r>
    <s v="MultiLineString ((-7142970.4868881469592452 -875744.80428033031057566, -7142747.34431786555796862 -876159.21191085258033127))"/>
    <m/>
    <x v="0"/>
    <n v="454.22800000000001"/>
    <x v="9"/>
  </r>
  <r>
    <s v="MultiLineString ((-7142460.44672750402241945 -876717.06833655573427677, -7142412.63046244345605373 -876892.39464177668560296))"/>
    <m/>
    <x v="0"/>
    <n v="175.06800000000001"/>
    <x v="9"/>
  </r>
  <r>
    <s v="MultiLineString ((-7142237.30415722262114286 -877243.04725221870467067, -7142093.85536204185336828 -877537.91422009037341923))"/>
    <m/>
    <x v="0"/>
    <n v="316.30599999999998"/>
    <x v="9"/>
  </r>
  <r>
    <s v="MultiLineString ((-7141998.22283192072063684 -877705.27114780130796134, -7141862.74341425020247698 -878589.8720514161977917))"/>
    <m/>
    <x v="0"/>
    <n v="861.58199999999999"/>
    <x v="9"/>
  </r>
  <r>
    <s v="MultiLineString ((-7141982.28407690115272999 -879466.50357752107083797, -7142054.00847449153661728 -879697.61552531237248331))"/>
    <m/>
    <x v="0"/>
    <n v="233.11699999999999"/>
    <x v="9"/>
  </r>
  <r>
    <s v="MultiLineString ((-7112329.03192627616226673 -796469.79605051223188639, -7109390.26704532187432051 -801128.35259813454467803))"/>
    <m/>
    <x v="1"/>
    <n v="5348.0379999999996"/>
    <x v="0"/>
  </r>
  <r>
    <s v="MultiLineString ((-7108003.96062170993536711 -801938.63905646849889308, -7107618.10992726590484381 -802203.22238980198744684))"/>
    <m/>
    <x v="1"/>
    <n v="456.173"/>
    <x v="0"/>
  </r>
  <r>
    <s v="MultiLineString ((-7107133.04048282094299793 -802330.00190369097981602, -7106813.33562170900404453 -802495.36648702446836978))"/>
    <m/>
    <x v="1"/>
    <n v="351.37099999999998"/>
    <x v="0"/>
  </r>
  <r>
    <s v="MultiLineString ((-7105181.73839948605746031 -803564.72412591415923089, -7104470.67069115210324526 -803961.59912591439206153))"/>
    <m/>
    <x v="1"/>
    <n v="794.63300000000004"/>
    <x v="0"/>
  </r>
  <r>
    <s v="MultiLineString ((-7104354.91548281814903021 -803986.40381341450847685, -7103974.57694115117192268 -804231.69461202574893832, -7103800.94412865117192268 -804669.91075785923749208))"/>
    <m/>
    <x v="1"/>
    <n v="898.07600000000002"/>
    <x v="0"/>
  </r>
  <r>
    <s v="MultiLineString ((-7103798.18805226217955351 -804818.73888285935390741, -7103734.79829531721770763 -805411.2953064707107842))"/>
    <m/>
    <x v="1"/>
    <n v="576.60500000000002"/>
    <x v="0"/>
  </r>
  <r>
    <s v="MultiLineString ((-7103800.94412865024060011 -805546.34304952633101493, -7104018.67416337225586176 -806034.16857035981956869, -7104261.20888559520244598 -806472.38471619330812246, -7104258.45280920621007681 -806469.6286398044321686, -7104972.27659392822533846 -807483.86475091590546072))"/>
    <m/>
    <x v="1"/>
    <n v="2211.5279999999998"/>
    <x v="0"/>
  </r>
  <r>
    <s v="MultiLineString ((-7105156.93371198512613773 -807922.08089674939401448, -7105906.58648976311087608 -808715.83089674974326044))"/>
    <m/>
    <x v="1"/>
    <n v="1061.6179999999999"/>
    <x v="0"/>
  </r>
  <r>
    <s v="MultiLineString ((-7106182.19412865303456783 -810909.66770230617839843, -7106242.82780920807272196 -811477.4194384174188599, -7106292.43718420807272196 -811890.83089675102382898, -7106364.09517031908035278 -812436.53402175114024431, -7106397.16808698605746031 -812739.70242452912498266))"/>
    <m/>
    <x v="1"/>
    <n v="1782.1759999999999"/>
    <x v="0"/>
  </r>
  <r>
    <s v="MultiLineString ((-7106430.24100365489721298 -813842.13298008497804403, -7106424.72885087691247463 -814024.03402175172232091))"/>
    <m/>
    <x v="1"/>
    <n v="175.95599999999999"/>
    <x v="0"/>
  </r>
  <r>
    <s v="MultiLineString ((-7106766.48232309892773628 -814624.85867452970705926, -7106997.99273976590484381 -814999.68506341869942844))"/>
    <m/>
    <x v="1"/>
    <n v="427.25700000000001"/>
    <x v="0"/>
  </r>
  <r>
    <s v="MultiLineString ((-7107047.60211476590484381 -815060.31874397431965917, -7107130.28440643288195133 -815308.3656189744360745))"/>
    <m/>
    <x v="1"/>
    <n v="253.06299999999999"/>
    <x v="0"/>
  </r>
  <r>
    <s v="MultiLineString ((-7108568.95628143288195133 -818108.53923008660785854, -7109087.09864254388958216 -818891.26492453133687377))"/>
    <m/>
    <x v="1"/>
    <n v="910.40700000000004"/>
    <x v="0"/>
  </r>
  <r>
    <s v="MultiLineString ((-7112506.28772357758134604 -840083.4230335959000513, -7112202.01689024455845356 -841485.7147002627607435, -7111672.85022357758134604 -843245.19386692973785102, -7111567.01689024362713099 -844819.46470026322640479))"/>
    <m/>
    <x v="1"/>
    <n v="4682.5789999999997"/>
    <x v="1"/>
  </r>
  <r>
    <s v="MultiLineString ((-7111310.93802119512110949 -845841.89029550203122199, -7111133.28921167179942131 -846329.47958121646661311))"/>
    <m/>
    <x v="1"/>
    <n v="501.29199999999997"/>
    <x v="1"/>
  </r>
  <r>
    <s v="MultiLineString ((-7111000.99754500482231379 -846911.5629145500715822, -7110948.08087833877652884 -847077.87243835953995585))"/>
    <m/>
    <x v="1"/>
    <n v="168.53"/>
    <x v="1"/>
  </r>
  <r>
    <s v="MultiLineString ((-7110838.46778309997171164 -847459.62839074071962386, -7110589.00349738541990519 -848026.59267645515501499))"/>
    <m/>
    <x v="1"/>
    <n v="598.58199999999999"/>
    <x v="1"/>
  </r>
  <r>
    <s v="MultiLineString ((-7110554.98564024362713099 -848136.20577169326134026, -7110422.69397357665002346 -848502.84267645527143031))"/>
    <m/>
    <x v="1"/>
    <n v="376.44799999999998"/>
    <x v="1"/>
  </r>
  <r>
    <s v="MultiLineString ((-7110211.02730690967291594 -849326.83077169372700155, -7110063.61659262422472239 -849655.67005740816239268))"/>
    <m/>
    <x v="1"/>
    <n v="348.22199999999998"/>
    <x v="1"/>
  </r>
  <r>
    <s v="MultiLineString ((-7110074.95587833877652884 -849825.75934312248136848, -7110040.93802119605243206 -850203.73553359881043434))"/>
    <m/>
    <x v="1"/>
    <n v="366.04599999999999"/>
    <x v="1"/>
  </r>
  <r>
    <s v="MultiLineString ((-7110040.93802119605243206 -850358.70577169407624751, -7109995.58087833877652884 -850808.49743836082052439))"/>
    <m/>
    <x v="1"/>
    <n v="436.03399999999999"/>
    <x v="1"/>
  </r>
  <r>
    <s v="MultiLineString ((-7110037.15825929027050734 -851008.82481931324582547, -7110037.15825929027050734 -851224.2712478848407045))"/>
    <m/>
    <x v="1"/>
    <n v="207.77099999999999"/>
    <x v="1"/>
  </r>
  <r>
    <s v="MultiLineString ((-7109972.90230690967291594 -851458.61648598010651767, -7109870.84873548056930304 -851745.87839074211660773))"/>
    <m/>
    <x v="1"/>
    <n v="294.35000000000002"/>
    <x v="1"/>
  </r>
  <r>
    <s v="MultiLineString ((-7109855.72968786209821701 -851923.52720026613678783, -7109806.59278309997171164 -852191.8902955042431131))"/>
    <m/>
    <x v="1"/>
    <n v="263.18299999999999"/>
    <x v="1"/>
  </r>
  <r>
    <s v="MultiLineString ((-7109704.53921167086809874 -852717.27720026636961848, -7109651.62254500482231379 -853004.53910502837970853))"/>
    <m/>
    <x v="1"/>
    <n v="281.75799999999998"/>
    <x v="1"/>
  </r>
  <r>
    <s v="MultiLineString ((-7109598.70587833784520626 -853182.18791455216705799, -7109519.33087833784520626 -853454.33077169512398541))"/>
    <m/>
    <x v="1"/>
    <n v="273.58100000000002"/>
    <x v="1"/>
  </r>
  <r>
    <s v="MultiLineString ((-7109496.65230690967291594 -853586.62243836163543165, -7109481.53325929027050734 -853873.8843431236455217))"/>
    <m/>
    <x v="1"/>
    <n v="277.36900000000003"/>
    <x v="1"/>
  </r>
  <r>
    <s v="MultiLineString ((-7109443.73564024269580841 -854244.3010097905062139, -7109337.90230690967291594 -855072.06886693357955664))"/>
    <m/>
    <x v="1"/>
    <n v="804.72"/>
    <x v="1"/>
  </r>
  <r>
    <s v="MultiLineString ((-7109322.78325929027050734 -855143.88434312411118299, -7109266.08683071937412024 -855400.90815264801494777))"/>
    <m/>
    <x v="1"/>
    <n v="253.88399999999999"/>
    <x v="1"/>
  </r>
  <r>
    <s v="MultiLineString ((-7109235.84873547963798046 -855525.64029550517443568, -7109216.94992595631629229 -855858.25934312434401363))"/>
    <m/>
    <x v="1"/>
    <n v="321.19400000000002"/>
    <x v="1"/>
  </r>
  <r>
    <s v="MultiLineString ((-7109205.61064024176448584 -856088.82481931487563998, -7109194.27135452721267939 -856474.36053360078949481))"/>
    <m/>
    <x v="1"/>
    <n v="371.82900000000001"/>
    <x v="1"/>
  </r>
  <r>
    <s v="MultiLineString ((-7109250.96778309810906649 -857453.31886693451087922, -7109262.30706881266087294 -857661.20577169652096927))"/>
    <m/>
    <x v="1"/>
    <n v="200.69399999999999"/>
    <x v="1"/>
  </r>
  <r>
    <s v="MultiLineString ((-7109277.42611643206328154 -857838.85458122030831873, -7109303.88444976508617401 -858110.99743836326524615))"/>
    <m/>
    <x v="1"/>
    <n v="263.58499999999998"/>
    <x v="1"/>
  </r>
  <r>
    <s v="MultiLineString ((-7109284.98564024083316326 -859335.64029550657141954, -7109243.40825928840786219 -860072.69386693532578647))"/>
    <m/>
    <x v="1"/>
    <n v="711.51800000000003"/>
    <x v="1"/>
  </r>
  <r>
    <s v="MultiLineString ((-7109167.81302119325846434 -860692.57481931650545448, -7109092.21778309810906649 -860957.15815264999400824))"/>
    <m/>
    <x v="1"/>
    <n v="265.40899999999999"/>
    <x v="1"/>
  </r>
  <r>
    <s v="MultiLineString ((-7109077.09873547870665789 -861028.97362884040921926, -7109027.96183071658015251 -861267.09862884052563459))"/>
    <m/>
    <x v="1"/>
    <n v="234.42"/>
    <x v="1"/>
  </r>
  <r>
    <s v="MultiLineString ((-7108937.24754500295966864 -861663.97362884064204991, -7108850.31302119325846434 -861879.42005741212051362))"/>
    <m/>
    <x v="1"/>
    <n v="224.22900000000001"/>
    <x v="1"/>
  </r>
  <r>
    <s v="MultiLineString ((-7108797.39635452628135681 -862393.46767645992804319, -7108729.36064024083316326 -862635.37243836477864534))"/>
    <m/>
    <x v="1"/>
    <n v="242.34"/>
    <x v="1"/>
  </r>
  <r>
    <s v="MultiLineString ((-7108498.79516405053436756 -863848.67600979364942759, -7108468.55706881172955036 -864215.31291455565951765))"/>
    <m/>
    <x v="1"/>
    <n v="354.47699999999998"/>
    <x v="1"/>
  </r>
  <r>
    <s v="MultiLineString ((-7108453.43802119325846434 -864272.00934312725439668, -7108430.75944976415485144 -864540.37243836547713727, -7108423.19992595538496971 -864789.83672407979611307))"/>
    <m/>
    <x v="1"/>
    <n v="499.95800000000003"/>
    <x v="1"/>
  </r>
  <r>
    <s v="MultiLineString ((-7108423.19992595538496971 -864990.16410503233782947, -7108460.99754500295966864 -865288.76529550855048001))"/>
    <m/>
    <x v="1"/>
    <n v="290.02300000000002"/>
    <x v="1"/>
  </r>
  <r>
    <s v="MultiLineString ((-7108570.61064024083316326 -866093.85458122298587114, -7108676.44397357385605574 -866634.36053360416553915))"/>
    <m/>
    <x v="1"/>
    <n v="530.79100000000005"/>
    <x v="1"/>
  </r>
  <r>
    <s v="MultiLineString ((-7108702.90230690687894821 -866819.56886693753767759, -7108725.58087833598256111 -867084.15220027090981603))"/>
    <m/>
    <x v="1"/>
    <n v="255.82499999999999"/>
    <x v="1"/>
  </r>
  <r>
    <s v="MultiLineString ((-7108729.36064024083316326 -867171.086724080494605, -7108733.14040214568376541 -867386.53315265197306871))"/>
    <m/>
    <x v="1"/>
    <n v="207.56399999999999"/>
    <x v="1"/>
  </r>
  <r>
    <s v="MultiLineString ((-7108646.20587833598256111 -867915.69981931883376092, -7108608.40825928840786219 -868074.44981931883376092))"/>
    <m/>
    <x v="1"/>
    <n v="157.279"/>
    <x v="1"/>
  </r>
  <r>
    <s v="MultiLineString ((-7108589.50944976508617401 -868153.82481931883376092, -7108547.93206881266087294 -868327.69386693800333887))"/>
    <m/>
    <x v="1"/>
    <n v="172.29599999999999"/>
    <x v="1"/>
  </r>
  <r>
    <s v="MultiLineString ((-7108449.65825928840786219 -870508.61648598639294505, -7108423.19992595538496971 -870852.57481931988149881))"/>
    <m/>
    <x v="1"/>
    <n v="332.24200000000002"/>
    <x v="1"/>
  </r>
  <r>
    <s v="MultiLineString ((-7108396.74159262143075466 -871071.80100979609414935, -7108389.18206881266087294 -871188.9736288437852636))"/>
    <m/>
    <x v="1"/>
    <n v="113.077"/>
    <x v="1"/>
  </r>
  <r>
    <s v="MultiLineString ((-7108370.28325928840786219 -871336.38434312958270311, -7108351.38444976508617401 -871468.67600979632697999))"/>
    <m/>
    <x v="1"/>
    <n v="128.71600000000001"/>
    <x v="1"/>
  </r>
  <r>
    <s v="MultiLineString ((-7108287.12849738355726004 -871842.8724383678054437, -7108234.21183071751147509 -872058.31886693928390741))"/>
    <m/>
    <x v="1"/>
    <n v="213.76400000000001"/>
    <x v="1"/>
  </r>
  <r>
    <s v="MultiLineString ((-7108083.02135452628135681 -872198.17005741561297327, -7108139.71778309810906649 -872307.78315265371929854))"/>
    <m/>
    <x v="1"/>
    <n v="119.11199999999999"/>
    <x v="1"/>
  </r>
  <r>
    <s v="MultiLineString ((-7108487.45587833598256111 -872670.64029551099520177, -7108604.62849738355726004 -872799.1522002728888765))"/>
    <m/>
    <x v="1"/>
    <n v="168.303"/>
    <x v="1"/>
  </r>
  <r>
    <s v="MultiLineString ((-7108060.34278309624642134 -873146.89029551111161709, -7107928.05111643020063639 -873335.87839074933435768))"/>
    <m/>
    <x v="1"/>
    <n v="222.934"/>
    <x v="1"/>
  </r>
  <r>
    <s v="MultiLineString ((-7107905.37254500109702349 -873422.81291455880273134, -7107799.53921166807413101 -873702.51529551134444773))"/>
    <m/>
    <x v="1"/>
    <n v="288.34100000000001"/>
    <x v="1"/>
  </r>
  <r>
    <s v="MultiLineString ((-7107807.09873547777533531 -873778.1105336066102609, -7107799.53921166807413101 -874057.81291455903556198))"/>
    <m/>
    <x v="1"/>
    <n v="269.399"/>
    <x v="1"/>
  </r>
  <r>
    <s v="MultiLineString ((-7107871.35468785837292671 -874401.77124789252411574, -7107935.61064023897051811 -874768.40815265453420579))"/>
    <m/>
    <x v="1"/>
    <n v="358.48099999999999"/>
    <x v="1"/>
  </r>
  <r>
    <s v="MultiLineString ((-7107935.61064023897051811 -874817.54505741642788053, -7107954.50944976322352886 -875135.04505741654429585))"/>
    <m/>
    <x v="1"/>
    <n v="306.21899999999999"/>
    <x v="1"/>
  </r>
  <r>
    <s v="MultiLineString ((-7107954.50944976322352886 -875138.82481932127848268, -7107977.18802119139581919 -875271.11648598802275956))"/>
    <m/>
    <x v="1"/>
    <n v="129.25800000000001"/>
    <x v="1"/>
  </r>
  <r>
    <s v="MultiLineString ((-7107977.18802119139581919 -875278.67600979760754853, -7108083.02135452535003424 -875890.99743836920242757))"/>
    <m/>
    <x v="1"/>
    <n v="598.40700000000004"/>
    <x v="1"/>
  </r>
  <r>
    <s v="MultiLineString ((-7108079.24159262049943209 -875951.4736288454150781, -7108094.36064023897051811 -876287.87243836931884289))"/>
    <m/>
    <x v="1"/>
    <n v="324.16800000000001"/>
    <x v="1"/>
  </r>
  <r>
    <s v="MultiLineString ((-7108109.47968785837292671 -876476.86053360754158348, -7108075.46183071564882994 -876779.24148598860483617))"/>
    <m/>
    <x v="1"/>
    <n v="292.95299999999997"/>
    <x v="1"/>
  </r>
  <r>
    <s v="MultiLineString ((-7108067.90230690594762564 -876877.51529551239218563, -7108120.81897357292473316 -877795.9974383699009195, -7108113.25944976322352886 -878087.03910503664519638, -7108143.49754500109702349 -878744.71767646539956331))"/>
    <m/>
    <x v="1"/>
    <n v="1799.5170000000001"/>
    <x v="1"/>
  </r>
  <r>
    <s v="MultiLineString ((-7108177.51540214475244284 -878786.29505741782486439, -7108347.60468785930424929 -879179.39029551320709288))"/>
    <m/>
    <x v="1"/>
    <n v="412.95699999999999"/>
    <x v="1"/>
  </r>
  <r>
    <s v="MultiLineString ((-7108366.50349738262593746 -879213.40815265604760498, -7108544.15230690687894821 -879765.25339075142983347))"/>
    <m/>
    <x v="1"/>
    <n v="558.52800000000002"/>
    <x v="1"/>
  </r>
  <r>
    <s v="MultiLineString ((-7108653.76540214568376541 -879946.68196218018420041, -7108895.67016405053436756 -880305.75934313260950148))"/>
    <m/>
    <x v="1"/>
    <n v="418.11700000000002"/>
    <x v="1"/>
  </r>
  <r>
    <s v="MultiLineString ((-7108935.35766405053436756 -880351.11648599000182003, -7108990.16421166993677616 -880455.05993837094865739))"/>
    <m/>
    <x v="1"/>
    <n v="113.357"/>
    <x v="1"/>
  </r>
  <r>
    <s v="MultiLineString ((-7110479.39040214568376541 -882208.86946218018420041, -7110653.25944976508617401 -882412.97660503734368831))"/>
    <m/>
    <x v="1"/>
    <n v="259.2"/>
    <x v="1"/>
  </r>
  <r>
    <s v="MultiLineString ((-7110759.09278309810906649 -882511.25041456113103777, -7110974.53921166993677616 -882753.1551764658652246))"/>
    <m/>
    <x v="1"/>
    <n v="313.22399999999999"/>
    <x v="1"/>
  </r>
  <r>
    <s v="MultiLineString ((-7112771.81599738355726004 -887054.52422408468555659, -7112831.34724738355726004 -887286.03464075142983347))"/>
    <m/>
    <x v="1"/>
    <n v="230.08600000000001"/>
    <x v="1"/>
  </r>
  <r>
    <s v="MultiLineString ((-7112851.19099738355726004 -887378.63880741805769503, -7112851.19099738355726004 -887689.52422408468555659, -7112851.19099738355726004 -887987.18047408468555659, -7112950.40974738355726004 -888384.05547408468555659))"/>
    <m/>
    <x v="1"/>
    <n v="979.03599999999994"/>
    <x v="1"/>
  </r>
  <r>
    <s v="MultiLineString ((-7124112.51912238076329231 -842812.88359907595440745, -7124337.41495571471750736 -844337.54505740886088461))"/>
    <m/>
    <x v="1"/>
    <n v="1487.4010000000001"/>
    <x v="2"/>
  </r>
  <r>
    <s v="MultiLineString ((-7124370.48787238076329231 -844519.44609907548874617, -7124390.33162238076329231 -844734.42005740874446929))"/>
    <m/>
    <x v="1"/>
    <n v="208.31200000000001"/>
    <x v="2"/>
  </r>
  <r>
    <s v="MultiLineString ((-7124899.65453904774039984 -846110.25339074188377708, -7124936.03474738076329231 -846259.08151574188377708))"/>
    <m/>
    <x v="1"/>
    <n v="147.89699999999999"/>
    <x v="2"/>
  </r>
  <r>
    <s v="MultiLineString ((-7124238.19620571378618479 -846682.4148490751395002, -7124135.67016404774039984 -846857.70130740839522332))"/>
    <m/>
    <x v="1"/>
    <n v="196.45400000000001"/>
    <x v="2"/>
  </r>
  <r>
    <s v="MultiLineString ((-7126148.95990985818207264 -878528.66755004972219467, -7126008.39377721399068832 -878881.71737157448660582, -7125943.01418063510209322 -879146.50473771803081036))"/>
    <m/>
    <x v="1"/>
    <n v="628.96500000000003"/>
    <x v="3"/>
  </r>
  <r>
    <s v="MultiLineString ((-7125893.97948320116847754 -879280.53291070437990129, -7125799.17906816210597754 -879630.31375240010675043))"/>
    <m/>
    <x v="1"/>
    <n v="349.04500000000002"/>
    <x v="3"/>
  </r>
  <r>
    <s v="MultiLineString ((-7125756.68233038578182459 -879803.56968333362601697, -7125671.68885483406484127 -880078.16398896393366158))"/>
    <m/>
    <x v="1"/>
    <n v="276.904"/>
    <x v="3"/>
  </r>
  <r>
    <s v="MultiLineString ((-7125652.07497586030513048 -880146.81256537151057273, -7125638.99905654508620501 -880271.03379887097980827))"/>
    <m/>
    <x v="1"/>
    <n v="120.221"/>
    <x v="3"/>
  </r>
  <r>
    <s v="MultiLineString ((-7125616.11619774252176285 -880356.02727442339528352, -7125560.54354065004736185 -880624.08362039597705007))"/>
    <m/>
    <x v="1"/>
    <n v="263.56799999999998"/>
    <x v="3"/>
  </r>
  <r>
    <s v="MultiLineString ((-7125534.39170201867818832 -881310.5693844718625769, -7125514.77782304491847754 -881545.9359321550000459))"/>
    <m/>
    <x v="1"/>
    <n v="227.29"/>
    <x v="3"/>
  </r>
  <r>
    <s v="MultiLineString ((-7125482.08802475593984127 -881611.31552873365581036, -7125397.09454920422285795 -881778.0335000092163682))"/>
    <m/>
    <x v="1"/>
    <n v="180.48400000000001"/>
    <x v="3"/>
  </r>
  <r>
    <s v="MultiLineString ((-7125364.40475091338157654 -882046.0898459815653041, -7125318.6390333091840148 -882216.07679708604700863))"/>
    <m/>
    <x v="1"/>
    <n v="169.518"/>
    <x v="3"/>
  </r>
  <r>
    <s v="MultiLineString ((-7125295.75617450661957264 -882287.9943533226614818, -7125246.72147707268595695 -882454.71232459822203964))"/>
    <m/>
    <x v="1"/>
    <n v="167.36099999999999"/>
    <x v="3"/>
  </r>
  <r>
    <s v="MultiLineString ((-7125240.18351741414517164 -882474.32620357174891979, -7125174.80392083525657654 -882670.46499330771621317))"/>
    <m/>
    <x v="1"/>
    <n v="199.154"/>
    <x v="3"/>
  </r>
  <r>
    <s v="MultiLineString ((-7125119.23126374371349812 -882781.61030749150086194, -7125034.2377881919965148 -882990.82501654315274209))"/>
    <m/>
    <x v="1"/>
    <n v="217.62100000000001"/>
    <x v="3"/>
  </r>
  <r>
    <s v="MultiLineString ((-7125037.50676802080124617 -883052.93563329288735986, -7124952.51329246815294027 -883621.73812352726235986))"/>
    <m/>
    <x v="1"/>
    <n v="553.47900000000004"/>
    <x v="3"/>
  </r>
  <r>
    <s v="MultiLineString ((-7124936.16839332412928343 -883687.11772010591812432, -7124936.16839332412928343 -883883.2565098418854177))"/>
    <m/>
    <x v="1"/>
    <n v="188.70699999999999"/>
    <x v="3"/>
  </r>
  <r>
    <s v="MultiLineString ((-7124906.74757486395537853 -884216.69245239300653338, -7124841.36797828506678343 -884671.08064861467573792))"/>
    <m/>
    <x v="1"/>
    <n v="441.75200000000001"/>
    <x v="3"/>
  </r>
  <r>
    <s v="MultiLineString ((-7124838.09899845719337463 -884831.26066023262683302, -7124864.25083708856254816 -885079.70312723144888878))"/>
    <m/>
    <x v="1"/>
    <n v="240.358"/>
    <x v="3"/>
  </r>
  <r>
    <s v="MultiLineString ((-7124753.10552290547639132 -885609.27785951865371317, -7124720.41572461556643248 -885717.15419387340079993))"/>
    <m/>
    <x v="1"/>
    <n v="108.536"/>
    <x v="3"/>
  </r>
  <r>
    <s v="MultiLineString ((-7124707.339805300347507 -885772.72685096529312432, -7124730.22266410291194916 -886240.19096650276333094))"/>
    <m/>
    <x v="1"/>
    <n v="450.22899999999998"/>
    <x v="3"/>
  </r>
  <r>
    <s v="MultiLineString ((-7124334.67610479984432459 -887083.58776236767880619, -7124174.49609318189322948 -887498.74820064241066575))"/>
    <m/>
    <x v="1"/>
    <n v="428.637"/>
    <x v="3"/>
  </r>
  <r>
    <s v="MultiLineString ((-7124102.57853694632649422 -887595.18310559587553144, -7124011.04710173606872559 -887770.07352644391357899, -7123881.92239849269390106 -888137.83375719899777323, -7123850.86709011811763048 -888260.42050078406464309, -7123801.8323926841840148 -888646.16012059827335179, -7123772.41157422494143248 -888873.35421870928257704))"/>
    <m/>
    <x v="1"/>
    <n v="1281.79"/>
    <x v="3"/>
  </r>
  <r>
    <s v="MultiLineString ((-7123764.23912465199828148 -888999.20994212327059358, -7123760.97014482319355011 -889479.74997697665821761))"/>
    <m/>
    <x v="1"/>
    <n v="462.15800000000002"/>
    <x v="3"/>
  </r>
  <r>
    <s v="MultiLineString ((-7123760.97014482412487268 -889476.48099714773707092, -7123726.64585661981254816 -889747.80632294923998415))"/>
    <m/>
    <x v="1"/>
    <n v="263.05900000000003"/>
    <x v="3"/>
  </r>
  <r>
    <s v="MultiLineString ((-7123991.43322276137769222 -890686.00353385345079005, -7124220.2618107870221138 -890944.25294033926911652, -7124337.94508462864905596 -891297.30276186414994299))"/>
    <m/>
    <x v="1"/>
    <n v="691.673"/>
    <x v="3"/>
  </r>
  <r>
    <s v="MultiLineString ((-7124347.75202411599457264 -891460.75175331090576947, -7124354.28998377360403538 -891728.80809928360395133))"/>
    <m/>
    <x v="1"/>
    <n v="257.83"/>
    <x v="3"/>
  </r>
  <r>
    <s v="MultiLineString ((-7124344.48304428532719612 -892039.36118303227704018, -7124321.60018548276275396 -892163.58241653174627572))"/>
    <m/>
    <x v="1"/>
    <n v="121.495"/>
    <x v="3"/>
  </r>
  <r>
    <s v="MultiLineString ((-7124279.10344770643860102 -892431.63876250444445759, -7124249.68262924626469612 -892729.115926937549375))"/>
    <m/>
    <x v="1"/>
    <n v="287.447"/>
    <x v="3"/>
  </r>
  <r>
    <s v="MultiLineString ((-7124216.99283095635473728 -892853.33716043701861054, -7124154.88221420720219612 -893176.96616350149270147))"/>
    <m/>
    <x v="1"/>
    <n v="316.959"/>
    <x v="3"/>
  </r>
  <r>
    <s v="MultiLineString ((-7124047.00587985198944807 -893497.32618673716206104, -7123880.28790857642889023 -894255.729507050011307))"/>
    <m/>
    <x v="1"/>
    <n v="746.91700000000003"/>
    <x v="3"/>
  </r>
  <r>
    <s v="MultiLineString ((-7123834.52219097130000591 -894576.08953028556425124, -7123827.9842313127592206 -894827.80097711354028434))"/>
    <m/>
    <x v="1"/>
    <n v="242.06299999999999"/>
    <x v="3"/>
  </r>
  <r>
    <s v="MultiLineString ((-7123814.90831199754029512 -895056.62956513895187527, -7123821.44627165514975786 -895291.99611282220575958))"/>
    <m/>
    <x v="1"/>
    <n v="226.34700000000001"/>
    <x v="3"/>
  </r>
  <r>
    <s v="MultiLineString ((-7123877.01892874669283628 -895517.55572101869620383, -7123922.7846463518217206 -895671.19777297868859023))"/>
    <m/>
    <x v="1"/>
    <n v="154.245"/>
    <x v="3"/>
  </r>
  <r>
    <s v="MultiLineString ((-7030589.14900656510144472 -892510.75003450678195804, -7029448.13338156510144472 -894875.46357617410831153))"/>
    <m/>
    <x v="1"/>
    <n v="2529.58"/>
    <x v="4"/>
  </r>
  <r>
    <s v="MultiLineString ((-7028993.3807773981243372 -895007.75524284073617309, -7027868.90161073114722967 -896901.17972200794611126, -7026562.5214023981243372 -898794.60420117503963411, -7025446.31046489719301462 -900506.1276386755052954, -7024892.3391107302159071 -901829.04430534248240292, -7024255.68546489626169205 -903573.64065950957592577))"/>
    <m/>
    <x v="1"/>
    <n v="9478.9030000000002"/>
    <x v="4"/>
  </r>
  <r>
    <s v="MultiLineString ((-7005045.72703139949589968 -897532.74522681604139507, -7004760.79113396350294352 -898133.14586784178391099, -7004486.03151857852935791 -898672.48881655978038907, -7004068.8039544764906168 -899252.53689348301850259, -7004028.09882627055048943 -899395.00484220101498067))"/>
    <m/>
    <x v="1"/>
    <n v="2054.895"/>
    <x v="5"/>
  </r>
  <r>
    <s v="MultiLineString ((-7003565.07799293845891953 -900346.4872139961225912, -7003478.57959550246596336 -900443.16189348325133324, -7003300.49465960450470448 -900524.5721498936181888, -7003025.73504421953111887 -900697.56894476537127048, -7002766.23985191248357296 -900962.15227809885982424, -7002501.65651857852935791 -901308.14586784248240292, -7002252.33760832250118256 -901608.34618835535366088))"/>
    <m/>
    <x v="1"/>
    <n v="1784.56"/>
    <x v="5"/>
  </r>
  <r>
    <s v="MultiLineString ((-7001845.28632627055048943 -901903.45836784259881824, -7001519.64530062954872847 -902249.45195758622139692))"/>
    <m/>
    <x v="1"/>
    <n v="458.89400000000001"/>
    <x v="5"/>
  </r>
  <r>
    <s v="MultiLineString ((-7177623.33264618925750256 -781253.88748814433347434, -7177448.00634096842259169 -781445.15254838531836867))"/>
    <m/>
    <x v="1"/>
    <n v="252.70599999999999"/>
    <x v="6"/>
  </r>
  <r>
    <s v="MultiLineString ((-7176555.43605984188616276 -782481.17162469075992703, -7176272.52315823547542095 -782787.99265882733743638))"/>
    <m/>
    <x v="1"/>
    <n v="406.45600000000002"/>
    <x v="6"/>
  </r>
  <r>
    <s v="MultiLineString ((-7174399.7194433743134141 -785473.67287971125915647, -7174320.02566827461123466 -785585.24416485184337944))"/>
    <m/>
    <x v="1"/>
    <n v="133.32499999999999"/>
    <x v="6"/>
  </r>
  <r>
    <s v="MultiLineString ((-7171251.81532690767198801 -788254.98563071573153138, -7170901.16271646600216627 -788685.33201625803485513))"/>
    <m/>
    <x v="1"/>
    <n v="540.05499999999995"/>
    <x v="6"/>
  </r>
  <r>
    <s v="MultiLineString ((-7169331.19534698687493801 -789386.63723714160732925, -7168964.60398152470588684 -789713.38171505322679877))"/>
    <m/>
    <x v="1"/>
    <n v="478.56"/>
    <x v="6"/>
  </r>
  <r>
    <s v="MultiLineString ((-7167824.9829975888133049 -791546.33854236279148608, -7167697.47295742854475975 -791889.02177529456093907))"/>
    <m/>
    <x v="1"/>
    <n v="354.53199999999998"/>
    <x v="6"/>
  </r>
  <r>
    <s v="MultiLineString ((-7167729.35046746861189604 -792088.2562130456790328, -7167721.38108995836228132 -792343.27629336691461504))"/>
    <m/>
    <x v="1"/>
    <n v="247.05"/>
    <x v="6"/>
  </r>
  <r>
    <s v="MultiLineString ((-7167793.10548755060881376 -793817.61113272467628121, -7167960.46241526119410992 -794574.70199617859907448))"/>
    <m/>
    <x v="1"/>
    <n v="751.05899999999997"/>
    <x v="6"/>
  </r>
  <r>
    <s v="MultiLineString ((-7166860.68831887561827898 -797826.2080202754586935, -7166749.11703373491764069 -798152.95249818707816303))"/>
    <m/>
    <x v="1"/>
    <n v="334.57799999999997"/>
    <x v="6"/>
  </r>
  <r>
    <s v="MultiLineString ((-7166645.51512610446661711 -798431.88071103859692812, -7166510.03570843394845724 -799276.63472710293717682))"/>
    <m/>
    <x v="1"/>
    <n v="828.26900000000001"/>
    <x v="6"/>
  </r>
  <r>
    <s v="MultiLineString ((-7166518.00508594326674938 -799260.69597208290360868, -7166525.9744634535163641 -800129.35812067741062492))"/>
    <m/>
    <x v="1"/>
    <n v="840.71500000000003"/>
    <x v="6"/>
  </r>
  <r>
    <s v="MultiLineString ((-7166510.03570843394845724 -800224.99065079796127975, -7166454.25006586313247681 -800639.39828132011462003))"/>
    <m/>
    <x v="1"/>
    <n v="404.73700000000002"/>
    <x v="6"/>
  </r>
  <r>
    <s v="MultiLineString ((-7149304.14966425579041243 -881209.80490783939603716, -7149073.0377164650708437 -882524.75219699623994529, -7149041.16020642500370741 -884070.81143394426908344))"/>
    <m/>
    <x v="1"/>
    <n v="2772.98"/>
    <x v="7"/>
  </r>
  <r>
    <s v="MultiLineString ((-7149045.14489517826586962 -884118.62769900448620319, -7149073.03771646320819855 -884995.25922510912641883))"/>
    <m/>
    <x v="1"/>
    <n v="843.80399999999997"/>
    <x v="7"/>
  </r>
  <r>
    <s v="MultiLineString ((-7149041.16020642314106226 -885114.79988775972742587, -7149041.16020642314106226 -885409.66685563127975911))"/>
    <m/>
    <x v="1"/>
    <n v="283.66399999999999"/>
    <x v="7"/>
  </r>
  <r>
    <s v="MultiLineString ((-7149045.14489517826586962 -885501.31469699670560658, -7149065.06833895295858383 -885712.50320101284887642))"/>
    <m/>
    <x v="1"/>
    <n v="204.08099999999999"/>
    <x v="7"/>
  </r>
  <r>
    <s v="MultiLineString ((-7149065.06833895295858383 -885752.3500885630492121, -7149057.09896144364029169 -885943.61514880403410643))"/>
    <m/>
    <x v="1"/>
    <n v="184.15299999999999"/>
    <x v="7"/>
  </r>
  <r>
    <s v="MultiLineString ((-7149053.11427268944680691 -886031.27830141456797719, -7149053.11427268944680691 -886134.88020904513541609))"/>
    <m/>
    <x v="1"/>
    <n v="99.66"/>
    <x v="7"/>
  </r>
  <r>
    <s v="MultiLineString ((-7149053.11427268944680691 -886222.54336165555287153, -7149041.16020642407238483 -886369.97684559132903814))"/>
    <m/>
    <x v="1"/>
    <n v="142.297"/>
    <x v="7"/>
  </r>
  <r>
    <s v="MultiLineString ((-7149029.20614015962928534 -886473.57875322189647704, -7149025.22145140450447798 -886601.08879338251426816))"/>
    <m/>
    <x v="1"/>
    <n v="122.715"/>
    <x v="7"/>
  </r>
  <r>
    <s v="MultiLineString ((-7149057.09896144457161427 -886983.61891386460047215, -7149081.00709397438913584 -887250.59306045097764581))"/>
    <m/>
    <x v="1"/>
    <n v="257.846"/>
    <x v="7"/>
  </r>
  <r>
    <s v="MultiLineString ((-7149116.86929276864975691 -887338.25621306139510125, -7149328.05779678467661142 -887712.81695603334810585))"/>
    <m/>
    <x v="1"/>
    <n v="414.70100000000002"/>
    <x v="7"/>
  </r>
  <r>
    <s v="MultiLineString ((-7149439.62908192537724972 -887784.54135362373199314, -7149543.2309895558282733 -887971.82172510970849544))"/>
    <m/>
    <x v="1"/>
    <n v="206.392"/>
    <x v="7"/>
  </r>
  <r>
    <s v="MultiLineString ((-7149591.04725461639463902 -888059.48487772012595087, -7149694.64916224684566259 -888258.71931547112762928))"/>
    <m/>
    <x v="1"/>
    <n v="216.495"/>
    <x v="7"/>
  </r>
  <r>
    <s v="MultiLineString ((-7149774.3429373474791646 -888370.29060061171185225, -7149953.65393132343888283 -888553.58628334267996252))"/>
    <m/>
    <x v="1"/>
    <n v="247.958"/>
    <x v="7"/>
  </r>
  <r>
    <s v="MultiLineString ((-7150121.01085903402417898 -888677.1116347482893616, -7150320.24529678467661142 -888936.11640382464975119))"/>
    <m/>
    <x v="1"/>
    <n v="315.572"/>
    <x v="7"/>
  </r>
  <r>
    <s v="MultiLineString ((-7150427.83189317025244236 -889131.36615282064303756, -7150547.37255582120269537 -889414.27905442717019469))"/>
    <m/>
    <x v="1"/>
    <n v="295.87299999999999"/>
    <x v="7"/>
  </r>
  <r>
    <s v="MultiLineString ((-7150555.34193333052098751 -889617.49818093306384981, -7150523.46442329045385122 -890370.60435563209466636))"/>
    <m/>
    <x v="1"/>
    <n v="724.90300000000002"/>
    <x v="7"/>
  </r>
  <r>
    <s v="MultiLineString ((-7150511.51035702507942915 -890446.31344197748694569, -7150411.89313814975321293 -891291.06745804182719439))"/>
    <m/>
    <x v="1"/>
    <n v="818.07600000000002"/>
    <x v="7"/>
  </r>
  <r>
    <s v="MultiLineString ((-7150547.3725558202713728 -891685.55164478882215917, -7150567.29599959589540958 -891781.184174909372814))"/>
    <m/>
    <x v="1"/>
    <n v="93.972999999999999"/>
    <x v="7"/>
  </r>
  <r>
    <s v="MultiLineString ((-7143950.72032188344746828 -855677.91171003761701286, -7143926.81218935269862413 -855765.57486264815088362))"/>
    <m/>
    <x v="1"/>
    <n v="87.667000000000002"/>
    <x v="8"/>
  </r>
  <r>
    <s v="MultiLineString ((-7143592.09833393152803183 -856235.76813574077095836, -7143472.55767128057777882 -856435.00257349188905209))"/>
    <m/>
    <x v="1"/>
    <n v="224.649"/>
    <x v="8"/>
  </r>
  <r>
    <s v="MultiLineString ((-7143647.88397650141268969 -857064.58339678542688489, -7143703.66961907222867012 -857311.63409959676209837))"/>
    <m/>
    <x v="1"/>
    <n v="244.27600000000001"/>
    <x v="8"/>
  </r>
  <r>
    <s v="MultiLineString ((-7144197.77102469466626644 -857869.49052529991604388, -7144245.58728975523263216 -857933.2455453802831471))"/>
    <m/>
    <x v="1"/>
    <n v="77.126999999999995"/>
    <x v="8"/>
  </r>
  <r>
    <s v="MultiLineString ((-7144229.64853473473340273 -858076.69434056105092168, -7144197.77102469466626644 -858220.14313574181869626))"/>
    <m/>
    <x v="1"/>
    <n v="141.71700000000001"/>
    <x v="8"/>
  </r>
  <r>
    <s v="MultiLineString ((-7144102.13849457446485758 -858491.1019710834370926, -7143998.53658694308251143 -858690.33640883455518633))"/>
    <m/>
    <x v="1"/>
    <n v="216.96199999999999"/>
    <x v="8"/>
  </r>
  <r>
    <s v="MultiLineString ((-7143898.9193680677562952 -858801.9076939751394093, -7143711.63899658154696226 -859084.82059558178298175))"/>
    <m/>
    <x v="1"/>
    <n v="328.13"/>
    <x v="8"/>
  </r>
  <r>
    <s v="MultiLineString ((-7143667.8074202761054039 -859176.46843694720882922, -7143588.11364517547190189 -859355.77943092328496277))"/>
    <m/>
    <x v="1"/>
    <n v="189.47200000000001"/>
    <x v="8"/>
  </r>
  <r>
    <s v="MultiLineString ((-7143592.09833393059670925 -859427.50382851366885006, -7143536.31269136071205139 -859535.090424899244681, -7143536.31269136071205139 -859535.090424899244681))"/>
    <m/>
    <x v="1"/>
    <n v="117.08"/>
    <x v="8"/>
  </r>
  <r>
    <s v="MultiLineString ((-7143492.48111505527049303 -859610.79951124463696033, -7143301.21605481393635273 -860021.22245301201473922))"/>
    <m/>
    <x v="1"/>
    <n v="437.27199999999999"/>
    <x v="8"/>
  </r>
  <r>
    <s v="MultiLineString ((-7144157.92413714341819286 -862412.03570602566469461, -7144213.7097797142341733 -862651.11703132709953934))"/>
    <m/>
    <x v="1"/>
    <n v="236.702"/>
    <x v="8"/>
  </r>
  <r>
    <s v="MultiLineString ((-7144341.21981987450271845 -865567.90920000337064266, -7144213.7097797142341733 -866245.30628835712559521))"/>
    <m/>
    <x v="1"/>
    <n v="664.29200000000003"/>
    <x v="8"/>
  </r>
  <r>
    <s v="MultiLineString ((-7143552.25144638027995825 -869592.44484257593285292, -7143337.07825360912829638 -870437.19885864062234759))"/>
    <m/>
    <x v="1"/>
    <n v="840.11"/>
    <x v="8"/>
  </r>
  <r>
    <s v="MultiLineString ((-7143273.3232335289940238 -870660.34142892179079354, -7143241.44572348892688751 -870748.00458153232466429))"/>
    <m/>
    <x v="1"/>
    <n v="89.947999999999993"/>
    <x v="8"/>
  </r>
  <r>
    <s v="MultiLineString ((-7143097.99692830815911293 -870907.39213173312600702, -7143026.27253071777522564 -870987.08590683364309371))"/>
    <m/>
    <x v="1"/>
    <n v="103.76600000000001"/>
    <x v="8"/>
  </r>
  <r>
    <s v="MultiLineString ((-7143440.68016123957931995 -873138.81783454574178904, -7143440.68016123957931995 -873409.77666988724377006))"/>
    <m/>
    <x v="1"/>
    <n v="260.892"/>
    <x v="9"/>
  </r>
  <r>
    <s v="MultiLineString ((-7143337.07825360912829638 -874589.24454137380234897, -7143281.29261103831231594 -874860.20337671530432999))"/>
    <m/>
    <x v="1"/>
    <n v="266.45699999999999"/>
    <x v="9"/>
  </r>
  <r>
    <s v="MultiLineString ((-7143185.66008091811090708 -875234.76411968749016523, -7142978.45626565720885992 -875752.77365784032735974))"/>
    <m/>
    <x v="1"/>
    <n v="537.92600000000004"/>
    <x v="9"/>
  </r>
  <r>
    <s v="MultiLineString ((-7142747.34431786555796862 -876159.21191085258033127, -7142460.44672750402241945 -876701.12958153570070863))"/>
    <m/>
    <x v="1"/>
    <n v="591.702"/>
    <x v="9"/>
  </r>
  <r>
    <s v="MultiLineString ((-7142404.66108493320643902 -876900.36401928681880236, -7142261.21228975243866444 -877227.1084971985546872))"/>
    <m/>
    <x v="1"/>
    <n v="344.11399999999998"/>
    <x v="9"/>
  </r>
  <r>
    <s v="MultiLineString ((-7142101.824739552102983 -877521.97546507022343576, -7141998.22283192165195942 -877705.27114780130796134))"/>
    <m/>
    <x v="1"/>
    <n v="203.209"/>
    <x v="9"/>
  </r>
  <r>
    <s v="MultiLineString ((-7141862.74341425020247698 -878565.96391888603102416, -7141990.25345441047102213 -879458.5342000110540539))"/>
    <m/>
    <x v="1"/>
    <n v="867.96600000000001"/>
    <x v="9"/>
  </r>
  <r>
    <s v="MultiLineString ((-7142046.03909698128700256 -879713.55428033252246678, -7142149.64100461173802614 -880032.32938073424156755))"/>
    <m/>
    <x v="1"/>
    <n v="322.92399999999998"/>
    <x v="9"/>
  </r>
  <r>
    <s v="MultiLineString ((-7126584.95885856356471777 -877339.08208264177665114, -7126262.49792106356471777 -878265.12374930863734335))"/>
    <m/>
    <x v="1"/>
    <n v="944.97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09C83-BF0E-483D-ACCD-8E4CEFF02237}" name="PivotTable1" cacheId="0" applyNumberFormats="0" applyBorderFormats="0" applyFontFormats="0" applyPatternFormats="0" applyAlignmentFormats="0" applyWidthHeightFormats="1" dataCaption="Values" grandTotalCaption="Total Length" updatedVersion="8" minRefreshableVersion="3" useAutoFormatting="1" itemPrintTitles="1" createdVersion="8" indent="0" outline="1" outlineData="1" multipleFieldFilters="0" rowHeaderCaption="Lava Tube Sequence">
  <location ref="A3:D15" firstHeaderRow="1" firstDataRow="2" firstDataCol="1"/>
  <pivotFields count="5">
    <pivotField showAll="0"/>
    <pivotField showAll="0"/>
    <pivotField axis="axisCol" showAll="0">
      <items count="3">
        <item x="0"/>
        <item n="Collapsed" x="1"/>
        <item t="default"/>
      </items>
    </pivotField>
    <pivotField dataField="1" showAll="0"/>
    <pivotField axis="axisRow" showAll="0" sortType="ascending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Length" fld="3" baseField="0" baseItem="0"/>
  </dataFields>
  <formats count="20"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Col="1" outline="0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Col="1" outline="0" fieldPosition="0"/>
    </format>
    <format dxfId="8">
      <pivotArea field="4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Col="1" outline="0" fieldPosition="0"/>
    </format>
    <format dxfId="5">
      <pivotArea field="4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Col="1" outline="0" fieldPosition="0"/>
    </format>
    <format dxfId="2">
      <pivotArea field="4" type="button" dataOnly="0" labelOnly="1" outline="0" axis="axisRow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8103-34E0-4324-9460-63D5F214F144}">
  <dimension ref="B2:K171"/>
  <sheetViews>
    <sheetView tabSelected="1" topLeftCell="D1" workbookViewId="0">
      <selection activeCell="L2" sqref="L2"/>
    </sheetView>
  </sheetViews>
  <sheetFormatPr defaultRowHeight="32.35" customHeight="1" x14ac:dyDescent="0.45"/>
  <cols>
    <col min="2" max="2" width="136.86328125" bestFit="1" customWidth="1"/>
    <col min="3" max="3" width="3.73046875" bestFit="1" customWidth="1"/>
    <col min="4" max="4" width="2.73046875" bestFit="1" customWidth="1"/>
    <col min="5" max="5" width="29.265625" customWidth="1"/>
    <col min="6" max="6" width="7.86328125" bestFit="1" customWidth="1"/>
    <col min="7" max="8" width="11.19921875" bestFit="1" customWidth="1"/>
    <col min="9" max="9" width="10.19921875" bestFit="1" customWidth="1"/>
    <col min="10" max="11" width="11.19921875" bestFit="1" customWidth="1"/>
  </cols>
  <sheetData>
    <row r="2" spans="2:11" ht="32.35" customHeight="1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ht="32.35" customHeight="1" x14ac:dyDescent="0.45">
      <c r="B3" s="1" t="s">
        <v>10</v>
      </c>
      <c r="C3" s="1">
        <v>1</v>
      </c>
      <c r="D3" s="1">
        <v>0</v>
      </c>
      <c r="E3" s="1" t="s">
        <v>11</v>
      </c>
      <c r="F3" s="1" t="s">
        <v>12</v>
      </c>
      <c r="G3" s="1">
        <v>1025.4152570000001</v>
      </c>
      <c r="H3" s="1">
        <v>5504.3466209999997</v>
      </c>
      <c r="I3" s="1">
        <v>145.18663000000001</v>
      </c>
      <c r="J3" s="1">
        <v>5644241.0051149996</v>
      </c>
      <c r="K3" s="1">
        <v>13059.523756000001</v>
      </c>
    </row>
    <row r="4" spans="2:11" ht="32.35" customHeight="1" x14ac:dyDescent="0.45">
      <c r="B4" s="1" t="s">
        <v>13</v>
      </c>
      <c r="C4" s="1">
        <v>2</v>
      </c>
      <c r="D4" s="1">
        <v>1</v>
      </c>
      <c r="E4" s="1" t="s">
        <v>14</v>
      </c>
      <c r="F4" s="1" t="s">
        <v>12</v>
      </c>
      <c r="G4" s="1">
        <v>293.08374900000001</v>
      </c>
      <c r="H4" s="1">
        <v>477.08745599999997</v>
      </c>
      <c r="I4" s="1">
        <v>91.909152000000006</v>
      </c>
      <c r="J4" s="1">
        <v>139826.57991999999</v>
      </c>
      <c r="K4" s="1">
        <v>1540.342408</v>
      </c>
    </row>
    <row r="5" spans="2:11" ht="32.35" customHeight="1" x14ac:dyDescent="0.45">
      <c r="B5" s="1" t="s">
        <v>15</v>
      </c>
      <c r="C5" s="1">
        <v>3</v>
      </c>
      <c r="D5" s="1">
        <v>2</v>
      </c>
      <c r="E5" s="1" t="s">
        <v>14</v>
      </c>
      <c r="F5" s="1" t="s">
        <v>12</v>
      </c>
      <c r="G5" s="1">
        <v>307.01027599999998</v>
      </c>
      <c r="H5" s="1">
        <v>369.70955800000002</v>
      </c>
      <c r="I5" s="1">
        <v>78.690067999999997</v>
      </c>
      <c r="J5" s="1">
        <v>113504.633456</v>
      </c>
      <c r="K5" s="1">
        <v>1353.439668</v>
      </c>
    </row>
    <row r="6" spans="2:11" ht="32.35" customHeight="1" x14ac:dyDescent="0.45">
      <c r="B6" s="1" t="s">
        <v>16</v>
      </c>
      <c r="C6" s="1">
        <v>4</v>
      </c>
      <c r="D6" s="1">
        <v>3</v>
      </c>
      <c r="E6" s="1" t="s">
        <v>14</v>
      </c>
      <c r="F6" s="1" t="s">
        <v>12</v>
      </c>
      <c r="G6" s="1">
        <v>406.03359899999998</v>
      </c>
      <c r="H6" s="1">
        <v>835.13531899999998</v>
      </c>
      <c r="I6" s="1">
        <v>114.14554200000001</v>
      </c>
      <c r="J6" s="1">
        <v>339092.999366</v>
      </c>
      <c r="K6" s="1">
        <v>2482.3378360000002</v>
      </c>
    </row>
    <row r="7" spans="2:11" ht="32.35" customHeight="1" x14ac:dyDescent="0.45">
      <c r="B7" s="1" t="s">
        <v>17</v>
      </c>
      <c r="C7" s="1">
        <v>5</v>
      </c>
      <c r="D7" s="1">
        <v>4</v>
      </c>
      <c r="E7" s="1" t="s">
        <v>14</v>
      </c>
      <c r="F7" s="1" t="s">
        <v>12</v>
      </c>
      <c r="G7" s="1">
        <v>476.95709199999999</v>
      </c>
      <c r="H7" s="1">
        <v>910.19041200000004</v>
      </c>
      <c r="I7" s="1">
        <v>133.40886</v>
      </c>
      <c r="J7" s="1">
        <v>434121.77192299999</v>
      </c>
      <c r="K7" s="1">
        <v>2774.2950070000002</v>
      </c>
    </row>
    <row r="8" spans="2:11" ht="32.35" customHeight="1" x14ac:dyDescent="0.45">
      <c r="B8" s="1" t="s">
        <v>18</v>
      </c>
      <c r="C8" s="1">
        <v>6</v>
      </c>
      <c r="D8" s="1">
        <v>5</v>
      </c>
      <c r="E8" s="1" t="s">
        <v>14</v>
      </c>
      <c r="F8" s="1" t="s">
        <v>12</v>
      </c>
      <c r="G8" s="1">
        <v>363.35435000000001</v>
      </c>
      <c r="H8" s="1">
        <v>589.25882000000001</v>
      </c>
      <c r="I8" s="1">
        <v>162.64597499999999</v>
      </c>
      <c r="J8" s="1">
        <v>214109.75565499999</v>
      </c>
      <c r="K8" s="1">
        <v>1905.2263399999999</v>
      </c>
    </row>
    <row r="9" spans="2:11" ht="32.35" customHeight="1" x14ac:dyDescent="0.45">
      <c r="B9" s="1" t="s">
        <v>19</v>
      </c>
      <c r="C9" s="1">
        <v>7</v>
      </c>
      <c r="D9" s="1">
        <v>6</v>
      </c>
      <c r="E9" s="1" t="s">
        <v>14</v>
      </c>
      <c r="F9" s="1" t="s">
        <v>12</v>
      </c>
      <c r="G9" s="1">
        <v>462.41590500000001</v>
      </c>
      <c r="H9" s="1">
        <v>2258.4601659999998</v>
      </c>
      <c r="I9" s="1">
        <v>33.434055999999998</v>
      </c>
      <c r="J9" s="1">
        <v>1044347.901196</v>
      </c>
      <c r="K9" s="1">
        <v>5441.7521409999999</v>
      </c>
    </row>
    <row r="10" spans="2:11" ht="32.35" customHeight="1" x14ac:dyDescent="0.45">
      <c r="B10" s="1" t="s">
        <v>20</v>
      </c>
      <c r="C10" s="1">
        <v>8</v>
      </c>
      <c r="D10" s="1">
        <v>7</v>
      </c>
      <c r="E10" s="1" t="s">
        <v>14</v>
      </c>
      <c r="F10" s="1" t="s">
        <v>12</v>
      </c>
      <c r="G10" s="1">
        <v>487.21007600000002</v>
      </c>
      <c r="H10" s="1">
        <v>1087.45289</v>
      </c>
      <c r="I10" s="1">
        <v>45</v>
      </c>
      <c r="J10" s="1">
        <v>529818.00503300002</v>
      </c>
      <c r="K10" s="1">
        <v>3149.3259309999999</v>
      </c>
    </row>
    <row r="11" spans="2:11" ht="32.35" customHeight="1" x14ac:dyDescent="0.45">
      <c r="B11" s="1" t="s">
        <v>21</v>
      </c>
      <c r="C11" s="1">
        <v>9</v>
      </c>
      <c r="D11" s="1">
        <v>8</v>
      </c>
      <c r="E11" s="1" t="s">
        <v>22</v>
      </c>
      <c r="F11" s="1" t="s">
        <v>12</v>
      </c>
      <c r="G11" s="1">
        <v>557.23581000000001</v>
      </c>
      <c r="H11" s="1">
        <v>569.81449599999996</v>
      </c>
      <c r="I11" s="1">
        <v>176.729512</v>
      </c>
      <c r="J11" s="1">
        <v>317521.04246000003</v>
      </c>
      <c r="K11" s="1">
        <v>2254.1006130000001</v>
      </c>
    </row>
    <row r="12" spans="2:11" ht="32.35" customHeight="1" x14ac:dyDescent="0.45">
      <c r="B12" s="1" t="s">
        <v>23</v>
      </c>
      <c r="C12" s="1">
        <v>10</v>
      </c>
      <c r="D12" s="1">
        <v>9</v>
      </c>
      <c r="E12" s="1" t="s">
        <v>22</v>
      </c>
      <c r="F12" s="1" t="s">
        <v>12</v>
      </c>
      <c r="G12" s="1">
        <v>442.86460699999998</v>
      </c>
      <c r="H12" s="1">
        <v>480.887226</v>
      </c>
      <c r="I12" s="1">
        <v>113.498566</v>
      </c>
      <c r="J12" s="1">
        <v>212967.93266399999</v>
      </c>
      <c r="K12" s="1">
        <v>1847.503667</v>
      </c>
    </row>
    <row r="13" spans="2:11" ht="32.35" customHeight="1" x14ac:dyDescent="0.45">
      <c r="B13" s="1" t="s">
        <v>24</v>
      </c>
      <c r="C13" s="1">
        <v>11</v>
      </c>
      <c r="D13" s="1">
        <v>10</v>
      </c>
      <c r="E13" s="1" t="s">
        <v>22</v>
      </c>
      <c r="F13" s="1" t="s">
        <v>12</v>
      </c>
      <c r="G13" s="1">
        <v>517.54237000000001</v>
      </c>
      <c r="H13" s="1">
        <v>566.00139300000001</v>
      </c>
      <c r="I13" s="1">
        <v>168.407825</v>
      </c>
      <c r="J13" s="1">
        <v>292929.70216300001</v>
      </c>
      <c r="K13" s="1">
        <v>2167.0875249999999</v>
      </c>
    </row>
    <row r="14" spans="2:11" ht="32.35" customHeight="1" x14ac:dyDescent="0.45">
      <c r="B14" s="1" t="s">
        <v>25</v>
      </c>
      <c r="C14" s="1">
        <v>12</v>
      </c>
      <c r="D14" s="1">
        <v>11</v>
      </c>
      <c r="E14" s="1" t="s">
        <v>22</v>
      </c>
      <c r="F14" s="1" t="s">
        <v>12</v>
      </c>
      <c r="G14" s="1">
        <v>276.21445399999999</v>
      </c>
      <c r="H14" s="1">
        <v>291.04307299999999</v>
      </c>
      <c r="I14" s="1">
        <v>155.772255</v>
      </c>
      <c r="J14" s="1">
        <v>80390.303423000005</v>
      </c>
      <c r="K14" s="1">
        <v>1134.5150530000001</v>
      </c>
    </row>
    <row r="15" spans="2:11" ht="32.35" customHeight="1" x14ac:dyDescent="0.45">
      <c r="B15" s="1" t="s">
        <v>26</v>
      </c>
      <c r="C15" s="1">
        <v>13</v>
      </c>
      <c r="D15" s="1">
        <v>12</v>
      </c>
      <c r="E15" s="1" t="s">
        <v>22</v>
      </c>
      <c r="F15" s="1" t="s">
        <v>12</v>
      </c>
      <c r="G15" s="1">
        <v>181.18007800000001</v>
      </c>
      <c r="H15" s="1">
        <v>220.49273600000001</v>
      </c>
      <c r="I15" s="1">
        <v>150.25511900000001</v>
      </c>
      <c r="J15" s="1">
        <v>39948.891099</v>
      </c>
      <c r="K15" s="1">
        <v>803.34562800000003</v>
      </c>
    </row>
    <row r="16" spans="2:11" ht="32.35" customHeight="1" x14ac:dyDescent="0.45">
      <c r="B16" s="1" t="s">
        <v>27</v>
      </c>
      <c r="C16" s="1">
        <v>14</v>
      </c>
      <c r="D16" s="1">
        <v>13</v>
      </c>
      <c r="E16" s="1" t="s">
        <v>28</v>
      </c>
      <c r="F16" s="1" t="s">
        <v>33</v>
      </c>
      <c r="G16" s="1">
        <v>198.068028</v>
      </c>
      <c r="H16" s="1">
        <v>226.70717400000001</v>
      </c>
      <c r="I16" s="1">
        <v>122.347443</v>
      </c>
      <c r="J16" s="1">
        <v>44903.442943000002</v>
      </c>
      <c r="K16" s="1">
        <v>849.55040499999996</v>
      </c>
    </row>
    <row r="17" spans="2:11" ht="32.35" customHeight="1" x14ac:dyDescent="0.45">
      <c r="B17" s="1" t="s">
        <v>29</v>
      </c>
      <c r="C17" s="1">
        <v>15</v>
      </c>
      <c r="D17" s="1">
        <v>14</v>
      </c>
      <c r="E17" s="1" t="s">
        <v>28</v>
      </c>
      <c r="F17" s="1" t="s">
        <v>12</v>
      </c>
      <c r="G17" s="1">
        <v>207.19638900000001</v>
      </c>
      <c r="H17" s="1">
        <v>230.53955199999999</v>
      </c>
      <c r="I17" s="1">
        <v>102.99461700000001</v>
      </c>
      <c r="J17" s="1">
        <v>47766.962611000003</v>
      </c>
      <c r="K17" s="1">
        <v>875.47188100000005</v>
      </c>
    </row>
    <row r="18" spans="2:11" ht="32.35" customHeight="1" x14ac:dyDescent="0.45">
      <c r="B18" s="1" t="s">
        <v>30</v>
      </c>
      <c r="C18" s="1">
        <v>16</v>
      </c>
      <c r="D18" s="1">
        <v>15</v>
      </c>
      <c r="E18" s="1" t="s">
        <v>28</v>
      </c>
      <c r="F18" s="1" t="s">
        <v>12</v>
      </c>
      <c r="G18" s="1">
        <v>231.92058399999999</v>
      </c>
      <c r="H18" s="1">
        <v>234.96416099999999</v>
      </c>
      <c r="I18" s="1">
        <v>83.659807999999998</v>
      </c>
      <c r="J18" s="1">
        <v>54493.025423999999</v>
      </c>
      <c r="K18" s="1">
        <v>933.76949000000002</v>
      </c>
    </row>
    <row r="19" spans="2:11" ht="32.35" customHeight="1" x14ac:dyDescent="0.45">
      <c r="B19" s="1" t="s">
        <v>31</v>
      </c>
      <c r="C19" s="1">
        <v>17</v>
      </c>
      <c r="D19" s="1">
        <v>16</v>
      </c>
      <c r="E19" s="1" t="s">
        <v>11</v>
      </c>
      <c r="F19" s="1" t="s">
        <v>12</v>
      </c>
      <c r="G19" s="1">
        <v>415.46066200000001</v>
      </c>
      <c r="H19" s="1">
        <v>948.10253599999999</v>
      </c>
      <c r="I19" s="1">
        <v>31.607502</v>
      </c>
      <c r="J19" s="1">
        <v>393899.30724499997</v>
      </c>
      <c r="K19" s="1">
        <v>2727.1263960000001</v>
      </c>
    </row>
    <row r="20" spans="2:11" ht="32.35" customHeight="1" x14ac:dyDescent="0.45">
      <c r="B20" s="1" t="s">
        <v>32</v>
      </c>
      <c r="C20" s="1">
        <v>18</v>
      </c>
      <c r="D20" s="1">
        <v>0</v>
      </c>
      <c r="E20" s="1" t="s">
        <v>11</v>
      </c>
      <c r="F20" s="1" t="s">
        <v>33</v>
      </c>
      <c r="G20" s="1">
        <v>1046.8577399999999</v>
      </c>
      <c r="H20" s="1">
        <v>4845.099252</v>
      </c>
      <c r="I20" s="1">
        <v>168.47627800000001</v>
      </c>
      <c r="J20" s="1">
        <v>5072129.6530330004</v>
      </c>
      <c r="K20" s="1">
        <v>11783.913984000001</v>
      </c>
    </row>
    <row r="21" spans="2:11" ht="32.35" customHeight="1" x14ac:dyDescent="0.45">
      <c r="B21" s="1" t="s">
        <v>34</v>
      </c>
      <c r="C21" s="1">
        <v>19</v>
      </c>
      <c r="D21" s="1">
        <v>1</v>
      </c>
      <c r="E21" s="1" t="s">
        <v>22</v>
      </c>
      <c r="F21" s="1" t="s">
        <v>33</v>
      </c>
      <c r="G21" s="1">
        <v>456.40625</v>
      </c>
      <c r="H21" s="1">
        <v>480.65972199999999</v>
      </c>
      <c r="I21" s="1">
        <v>126.86989800000001</v>
      </c>
      <c r="J21" s="1">
        <v>219376.101348</v>
      </c>
      <c r="K21" s="1">
        <v>1874.131944</v>
      </c>
    </row>
    <row r="22" spans="2:11" ht="32.35" customHeight="1" x14ac:dyDescent="0.45">
      <c r="B22" s="1" t="s">
        <v>35</v>
      </c>
      <c r="C22" s="1">
        <v>20</v>
      </c>
      <c r="D22" s="1">
        <v>2</v>
      </c>
      <c r="E22" s="1" t="s">
        <v>28</v>
      </c>
      <c r="F22" s="1" t="s">
        <v>33</v>
      </c>
      <c r="G22" s="1">
        <v>173.53410500000001</v>
      </c>
      <c r="H22" s="1">
        <v>180.068862</v>
      </c>
      <c r="I22" s="1">
        <v>19.798876</v>
      </c>
      <c r="J22" s="1">
        <v>31248.088924</v>
      </c>
      <c r="K22" s="1">
        <v>707.20593499999995</v>
      </c>
    </row>
    <row r="23" spans="2:11" ht="32.35" customHeight="1" x14ac:dyDescent="0.45">
      <c r="B23" s="1" t="s">
        <v>36</v>
      </c>
      <c r="C23" s="1">
        <v>21</v>
      </c>
      <c r="D23" s="1">
        <v>3</v>
      </c>
      <c r="E23" s="1" t="s">
        <v>14</v>
      </c>
      <c r="F23" s="1" t="s">
        <v>33</v>
      </c>
      <c r="G23" s="1">
        <v>469.92157700000001</v>
      </c>
      <c r="H23" s="1">
        <v>629.58554800000002</v>
      </c>
      <c r="I23" s="1">
        <v>153.83843400000001</v>
      </c>
      <c r="J23" s="1">
        <v>295855.83375699999</v>
      </c>
      <c r="K23" s="1">
        <v>2199.0142510000001</v>
      </c>
    </row>
    <row r="24" spans="2:11" ht="32.35" customHeight="1" x14ac:dyDescent="0.45">
      <c r="B24" s="1" t="s">
        <v>37</v>
      </c>
      <c r="C24" s="1">
        <v>22</v>
      </c>
      <c r="D24" s="1">
        <v>4</v>
      </c>
      <c r="E24" s="1" t="s">
        <v>22</v>
      </c>
      <c r="F24" s="1" t="s">
        <v>33</v>
      </c>
      <c r="G24" s="1">
        <v>324.39346</v>
      </c>
      <c r="H24" s="1">
        <v>398.84441800000002</v>
      </c>
      <c r="I24" s="1">
        <v>105.25511899999999</v>
      </c>
      <c r="J24" s="1">
        <v>129382.520932</v>
      </c>
      <c r="K24" s="1">
        <v>1446.4757569999999</v>
      </c>
    </row>
    <row r="25" spans="2:11" ht="32.35" customHeight="1" x14ac:dyDescent="0.45">
      <c r="B25" s="1" t="s">
        <v>38</v>
      </c>
      <c r="C25" s="1">
        <v>23</v>
      </c>
      <c r="D25" s="1">
        <v>5</v>
      </c>
      <c r="E25" s="1" t="s">
        <v>22</v>
      </c>
      <c r="F25" s="1" t="s">
        <v>33</v>
      </c>
      <c r="G25" s="1">
        <v>309.430161</v>
      </c>
      <c r="H25" s="1">
        <v>349.422099</v>
      </c>
      <c r="I25" s="1">
        <v>175.030259</v>
      </c>
      <c r="J25" s="1">
        <v>108121.736395</v>
      </c>
      <c r="K25" s="1">
        <v>1317.70452</v>
      </c>
    </row>
    <row r="26" spans="2:11" ht="32.35" customHeight="1" x14ac:dyDescent="0.45">
      <c r="B26" s="1" t="s">
        <v>39</v>
      </c>
      <c r="C26" s="1">
        <v>24</v>
      </c>
      <c r="D26" s="1">
        <v>6</v>
      </c>
      <c r="E26" s="1" t="s">
        <v>22</v>
      </c>
      <c r="F26" s="1" t="s">
        <v>33</v>
      </c>
      <c r="G26" s="1">
        <v>286.63194399999998</v>
      </c>
      <c r="H26" s="1">
        <v>361.04600699999997</v>
      </c>
      <c r="I26" s="1">
        <v>0</v>
      </c>
      <c r="J26" s="1">
        <v>103487.319005</v>
      </c>
      <c r="K26" s="1">
        <v>1295.3559029999999</v>
      </c>
    </row>
    <row r="27" spans="2:11" ht="32.35" customHeight="1" x14ac:dyDescent="0.45">
      <c r="B27" s="1" t="s">
        <v>40</v>
      </c>
      <c r="C27" s="1">
        <v>25</v>
      </c>
      <c r="D27" s="1">
        <v>7</v>
      </c>
      <c r="E27" s="1" t="s">
        <v>22</v>
      </c>
      <c r="F27" s="1" t="s">
        <v>33</v>
      </c>
      <c r="G27" s="1">
        <v>397.73416400000002</v>
      </c>
      <c r="H27" s="1">
        <v>456.12011999999999</v>
      </c>
      <c r="I27" s="1">
        <v>159.44395499999999</v>
      </c>
      <c r="J27" s="1">
        <v>181414.554661</v>
      </c>
      <c r="K27" s="1">
        <v>1707.708568</v>
      </c>
    </row>
    <row r="28" spans="2:11" ht="32.35" customHeight="1" x14ac:dyDescent="0.45">
      <c r="B28" s="1" t="s">
        <v>41</v>
      </c>
      <c r="C28" s="1">
        <v>26</v>
      </c>
      <c r="D28" s="1">
        <v>8</v>
      </c>
      <c r="E28" s="1" t="s">
        <v>22</v>
      </c>
      <c r="F28" s="1" t="s">
        <v>33</v>
      </c>
      <c r="G28" s="1">
        <v>186.663848</v>
      </c>
      <c r="H28" s="1">
        <v>192.79603700000001</v>
      </c>
      <c r="I28" s="1">
        <v>159.14554200000001</v>
      </c>
      <c r="J28" s="1">
        <v>35988.050156999998</v>
      </c>
      <c r="K28" s="1">
        <v>758.91976999999997</v>
      </c>
    </row>
    <row r="29" spans="2:11" ht="32.35" customHeight="1" x14ac:dyDescent="0.45">
      <c r="B29" s="1" t="s">
        <v>42</v>
      </c>
      <c r="C29" s="1">
        <v>27</v>
      </c>
      <c r="D29" s="1">
        <v>9</v>
      </c>
      <c r="E29" s="1" t="s">
        <v>22</v>
      </c>
      <c r="F29" s="1" t="s">
        <v>33</v>
      </c>
      <c r="G29" s="1">
        <v>238.86912599999999</v>
      </c>
      <c r="H29" s="1">
        <v>293.34805</v>
      </c>
      <c r="I29" s="1">
        <v>169.695154</v>
      </c>
      <c r="J29" s="1">
        <v>70071.792377000005</v>
      </c>
      <c r="K29" s="1">
        <v>1064.434352</v>
      </c>
    </row>
    <row r="30" spans="2:11" ht="32.35" customHeight="1" x14ac:dyDescent="0.45">
      <c r="B30" s="1" t="s">
        <v>43</v>
      </c>
      <c r="C30" s="1">
        <v>28</v>
      </c>
      <c r="D30" s="1">
        <v>10</v>
      </c>
      <c r="E30" s="1" t="s">
        <v>22</v>
      </c>
      <c r="F30" s="1" t="s">
        <v>33</v>
      </c>
      <c r="G30" s="1">
        <v>241.08950400000001</v>
      </c>
      <c r="H30" s="1">
        <v>250.40124700000001</v>
      </c>
      <c r="I30" s="1">
        <v>100.61965499999999</v>
      </c>
      <c r="J30" s="1">
        <v>60369.112389000002</v>
      </c>
      <c r="K30" s="1">
        <v>982.98150199999998</v>
      </c>
    </row>
    <row r="31" spans="2:11" ht="32.35" customHeight="1" x14ac:dyDescent="0.45">
      <c r="B31" s="1" t="s">
        <v>44</v>
      </c>
      <c r="C31" s="1">
        <v>29</v>
      </c>
      <c r="D31" s="1">
        <v>11</v>
      </c>
      <c r="E31" s="1" t="s">
        <v>22</v>
      </c>
      <c r="F31" s="1" t="s">
        <v>33</v>
      </c>
      <c r="G31" s="1">
        <v>212.84418099999999</v>
      </c>
      <c r="H31" s="1">
        <v>267.54991799999999</v>
      </c>
      <c r="I31" s="1">
        <v>139.39870500000001</v>
      </c>
      <c r="J31" s="1">
        <v>56946.443269000003</v>
      </c>
      <c r="K31" s="1">
        <v>960.78819899999996</v>
      </c>
    </row>
    <row r="32" spans="2:11" ht="32.35" customHeight="1" x14ac:dyDescent="0.45">
      <c r="B32" s="1" t="s">
        <v>45</v>
      </c>
      <c r="C32" s="1">
        <v>30</v>
      </c>
      <c r="D32" s="1">
        <v>12</v>
      </c>
      <c r="E32" s="1" t="s">
        <v>22</v>
      </c>
      <c r="F32" s="1" t="s">
        <v>12</v>
      </c>
      <c r="G32" s="1">
        <v>225.44669200000001</v>
      </c>
      <c r="H32" s="1">
        <v>275.28796</v>
      </c>
      <c r="I32" s="1">
        <v>145.375845</v>
      </c>
      <c r="J32" s="1">
        <v>62062.759879999998</v>
      </c>
      <c r="K32" s="1">
        <v>1001.469304</v>
      </c>
    </row>
    <row r="33" spans="2:11" ht="32.35" customHeight="1" x14ac:dyDescent="0.45">
      <c r="B33" s="1" t="s">
        <v>46</v>
      </c>
      <c r="C33" s="1">
        <v>31</v>
      </c>
      <c r="D33" s="1">
        <v>13</v>
      </c>
      <c r="E33" s="1" t="s">
        <v>22</v>
      </c>
      <c r="F33" s="1" t="s">
        <v>33</v>
      </c>
      <c r="G33" s="1">
        <v>267.52432399999998</v>
      </c>
      <c r="H33" s="1">
        <v>274.80009000000001</v>
      </c>
      <c r="I33" s="1">
        <v>66.037510999999995</v>
      </c>
      <c r="J33" s="1">
        <v>73515.708469999998</v>
      </c>
      <c r="K33" s="1">
        <v>1084.648829</v>
      </c>
    </row>
    <row r="34" spans="2:11" ht="32.35" customHeight="1" x14ac:dyDescent="0.45">
      <c r="B34" s="1" t="s">
        <v>47</v>
      </c>
      <c r="C34" s="1">
        <v>32</v>
      </c>
      <c r="D34" s="1">
        <v>14</v>
      </c>
      <c r="E34" s="1" t="s">
        <v>11</v>
      </c>
      <c r="F34" s="1" t="s">
        <v>33</v>
      </c>
      <c r="G34" s="1">
        <v>354.00749500000001</v>
      </c>
      <c r="H34" s="1">
        <v>835.86404400000004</v>
      </c>
      <c r="I34" s="1">
        <v>166.233699</v>
      </c>
      <c r="J34" s="1">
        <v>295902.13665599999</v>
      </c>
      <c r="K34" s="1">
        <v>2379.743078</v>
      </c>
    </row>
    <row r="35" spans="2:11" ht="32.35" customHeight="1" x14ac:dyDescent="0.45">
      <c r="B35" s="1" t="s">
        <v>48</v>
      </c>
      <c r="C35" s="1">
        <v>33</v>
      </c>
      <c r="D35" s="1">
        <v>16</v>
      </c>
      <c r="E35" s="1" t="s">
        <v>22</v>
      </c>
      <c r="F35" s="1" t="s">
        <v>33</v>
      </c>
      <c r="G35" s="1">
        <v>229.21032500000001</v>
      </c>
      <c r="H35" s="1">
        <v>252.81418300000001</v>
      </c>
      <c r="I35" s="1">
        <v>129.20720399999999</v>
      </c>
      <c r="J35" s="1">
        <v>57947.621111</v>
      </c>
      <c r="K35" s="1">
        <v>964.04901700000005</v>
      </c>
    </row>
    <row r="36" spans="2:11" ht="32.35" customHeight="1" x14ac:dyDescent="0.45">
      <c r="B36" s="1" t="s">
        <v>49</v>
      </c>
      <c r="C36" s="1">
        <v>34</v>
      </c>
      <c r="D36" s="1">
        <v>17</v>
      </c>
      <c r="E36" s="1" t="s">
        <v>22</v>
      </c>
      <c r="F36" s="1" t="s">
        <v>33</v>
      </c>
      <c r="G36" s="1">
        <v>298.27156600000001</v>
      </c>
      <c r="H36" s="1">
        <v>327.95878299999998</v>
      </c>
      <c r="I36" s="1">
        <v>175.84035800000001</v>
      </c>
      <c r="J36" s="1">
        <v>97820.779997999998</v>
      </c>
      <c r="K36" s="1">
        <v>1252.460699</v>
      </c>
    </row>
    <row r="37" spans="2:11" ht="32.35" customHeight="1" x14ac:dyDescent="0.45">
      <c r="B37" s="1" t="s">
        <v>50</v>
      </c>
      <c r="C37" s="1">
        <v>35</v>
      </c>
      <c r="D37" s="1">
        <v>18</v>
      </c>
      <c r="E37" s="1" t="s">
        <v>22</v>
      </c>
      <c r="F37" s="1" t="s">
        <v>33</v>
      </c>
      <c r="G37" s="1">
        <v>336.14012200000002</v>
      </c>
      <c r="H37" s="1">
        <v>372.92313200000001</v>
      </c>
      <c r="I37" s="1">
        <v>19.179008</v>
      </c>
      <c r="J37" s="1">
        <v>125354.426974</v>
      </c>
      <c r="K37" s="1">
        <v>1418.1265069999999</v>
      </c>
    </row>
    <row r="38" spans="2:11" ht="32.35" customHeight="1" x14ac:dyDescent="0.45">
      <c r="B38" s="1" t="s">
        <v>51</v>
      </c>
      <c r="C38" s="1">
        <v>36</v>
      </c>
      <c r="D38" s="1">
        <v>19</v>
      </c>
      <c r="E38" s="1" t="s">
        <v>22</v>
      </c>
      <c r="F38" s="1" t="s">
        <v>33</v>
      </c>
      <c r="G38" s="1">
        <v>166.74262200000001</v>
      </c>
      <c r="H38" s="1">
        <v>198.4375</v>
      </c>
      <c r="I38" s="1">
        <v>90</v>
      </c>
      <c r="J38" s="1">
        <v>33087.988959000002</v>
      </c>
      <c r="K38" s="1">
        <v>730.36024299999997</v>
      </c>
    </row>
    <row r="39" spans="2:11" ht="32.35" customHeight="1" x14ac:dyDescent="0.45">
      <c r="B39" s="1" t="s">
        <v>52</v>
      </c>
      <c r="C39" s="1">
        <v>37</v>
      </c>
      <c r="D39" s="1">
        <v>20</v>
      </c>
      <c r="E39" s="1" t="s">
        <v>22</v>
      </c>
      <c r="F39" s="1" t="s">
        <v>33</v>
      </c>
      <c r="G39" s="1">
        <v>252.91437500000001</v>
      </c>
      <c r="H39" s="1">
        <v>253.96818500000001</v>
      </c>
      <c r="I39" s="1">
        <v>161.939528</v>
      </c>
      <c r="J39" s="1">
        <v>64232.20463</v>
      </c>
      <c r="K39" s="1">
        <v>1013.765119</v>
      </c>
    </row>
    <row r="40" spans="2:11" ht="32.35" customHeight="1" x14ac:dyDescent="0.45">
      <c r="B40" s="1" t="s">
        <v>53</v>
      </c>
      <c r="C40" s="1">
        <v>38</v>
      </c>
      <c r="D40" s="1">
        <v>21</v>
      </c>
      <c r="E40" s="1" t="s">
        <v>11</v>
      </c>
      <c r="F40" s="1" t="s">
        <v>33</v>
      </c>
      <c r="G40" s="1">
        <v>424.43579099999999</v>
      </c>
      <c r="H40" s="1">
        <v>715.97936500000003</v>
      </c>
      <c r="I40" s="1">
        <v>7.7335979999999998</v>
      </c>
      <c r="J40" s="1">
        <v>303887.26825000002</v>
      </c>
      <c r="K40" s="1">
        <v>2280.8303129999999</v>
      </c>
    </row>
    <row r="41" spans="2:11" ht="32.35" customHeight="1" x14ac:dyDescent="0.45">
      <c r="B41" s="1" t="s">
        <v>54</v>
      </c>
      <c r="C41" s="1">
        <v>39</v>
      </c>
      <c r="D41" s="1">
        <v>22</v>
      </c>
      <c r="E41" s="1" t="s">
        <v>22</v>
      </c>
      <c r="F41" s="1" t="s">
        <v>33</v>
      </c>
      <c r="G41" s="1">
        <v>283.368606</v>
      </c>
      <c r="H41" s="1">
        <v>315.45249000000001</v>
      </c>
      <c r="I41" s="1">
        <v>77.735225999999997</v>
      </c>
      <c r="J41" s="1">
        <v>89389.332387999995</v>
      </c>
      <c r="K41" s="1">
        <v>1197.642192</v>
      </c>
    </row>
    <row r="42" spans="2:11" ht="32.35" customHeight="1" x14ac:dyDescent="0.45">
      <c r="B42" s="1" t="s">
        <v>55</v>
      </c>
      <c r="C42" s="1">
        <v>40</v>
      </c>
      <c r="D42" s="1">
        <v>23</v>
      </c>
      <c r="E42" s="1" t="s">
        <v>22</v>
      </c>
      <c r="F42" s="1" t="s">
        <v>33</v>
      </c>
      <c r="G42" s="1">
        <v>245.913985</v>
      </c>
      <c r="H42" s="1">
        <v>248.55349100000001</v>
      </c>
      <c r="I42" s="1">
        <v>151.38954000000001</v>
      </c>
      <c r="J42" s="1">
        <v>61122.779579000002</v>
      </c>
      <c r="K42" s="1">
        <v>988.93495299999995</v>
      </c>
    </row>
    <row r="43" spans="2:11" ht="32.35" customHeight="1" x14ac:dyDescent="0.45">
      <c r="B43" s="1" t="s">
        <v>56</v>
      </c>
      <c r="C43" s="1">
        <v>41</v>
      </c>
      <c r="D43" s="1">
        <v>24</v>
      </c>
      <c r="E43" s="1" t="s">
        <v>22</v>
      </c>
      <c r="F43" s="1" t="s">
        <v>33</v>
      </c>
      <c r="G43" s="1">
        <v>223.569379</v>
      </c>
      <c r="H43" s="1">
        <v>257.07060100000001</v>
      </c>
      <c r="I43" s="1">
        <v>82.874983999999998</v>
      </c>
      <c r="J43" s="1">
        <v>57473.114622000001</v>
      </c>
      <c r="K43" s="1">
        <v>961.27995999999996</v>
      </c>
    </row>
    <row r="44" spans="2:11" ht="32.35" customHeight="1" x14ac:dyDescent="0.45">
      <c r="B44" s="1" t="s">
        <v>57</v>
      </c>
      <c r="C44" s="1">
        <v>42</v>
      </c>
      <c r="D44" s="1">
        <v>25</v>
      </c>
      <c r="E44" s="1" t="s">
        <v>22</v>
      </c>
      <c r="F44" s="1" t="s">
        <v>33</v>
      </c>
      <c r="G44" s="1">
        <v>276.37037099999998</v>
      </c>
      <c r="H44" s="1">
        <v>297.39554399999997</v>
      </c>
      <c r="I44" s="1">
        <v>107.52556800000001</v>
      </c>
      <c r="J44" s="1">
        <v>82191.316747000004</v>
      </c>
      <c r="K44" s="1">
        <v>1147.531829</v>
      </c>
    </row>
    <row r="45" spans="2:11" ht="32.35" customHeight="1" x14ac:dyDescent="0.45">
      <c r="B45" s="1" t="s">
        <v>58</v>
      </c>
      <c r="C45" s="1">
        <v>43</v>
      </c>
      <c r="D45" s="1">
        <v>26</v>
      </c>
      <c r="E45" s="1" t="s">
        <v>14</v>
      </c>
      <c r="F45" s="1" t="s">
        <v>33</v>
      </c>
      <c r="G45" s="1">
        <v>277.58417400000002</v>
      </c>
      <c r="H45" s="1">
        <v>396.08878700000002</v>
      </c>
      <c r="I45" s="1">
        <v>173.29016300000001</v>
      </c>
      <c r="J45" s="1">
        <v>109947.97861999999</v>
      </c>
      <c r="K45" s="1">
        <v>1347.3459210000001</v>
      </c>
    </row>
    <row r="46" spans="2:11" ht="32.35" customHeight="1" x14ac:dyDescent="0.45">
      <c r="B46" s="1" t="s">
        <v>59</v>
      </c>
      <c r="C46" s="1">
        <v>44</v>
      </c>
      <c r="D46" s="1">
        <v>27</v>
      </c>
      <c r="E46" s="1" t="s">
        <v>14</v>
      </c>
      <c r="F46" s="1" t="s">
        <v>33</v>
      </c>
      <c r="G46" s="1">
        <v>234.44638</v>
      </c>
      <c r="H46" s="1">
        <v>283.253061</v>
      </c>
      <c r="I46" s="1">
        <v>18.434949</v>
      </c>
      <c r="J46" s="1">
        <v>66407.654609000005</v>
      </c>
      <c r="K46" s="1">
        <v>1035.3988810000001</v>
      </c>
    </row>
    <row r="47" spans="2:11" ht="32.35" customHeight="1" x14ac:dyDescent="0.45">
      <c r="B47" s="1" t="s">
        <v>60</v>
      </c>
      <c r="C47" s="1">
        <v>45</v>
      </c>
      <c r="D47" s="1">
        <v>28</v>
      </c>
      <c r="E47" s="1" t="s">
        <v>22</v>
      </c>
      <c r="F47" s="1" t="s">
        <v>33</v>
      </c>
      <c r="G47" s="1">
        <v>207.45976099999999</v>
      </c>
      <c r="H47" s="1">
        <v>219.952776</v>
      </c>
      <c r="I47" s="1">
        <v>164.05460400000001</v>
      </c>
      <c r="J47" s="1">
        <v>45631.350507000003</v>
      </c>
      <c r="K47" s="1">
        <v>854.82507599999997</v>
      </c>
    </row>
    <row r="48" spans="2:11" ht="32.35" customHeight="1" x14ac:dyDescent="0.45">
      <c r="B48" s="1" t="s">
        <v>61</v>
      </c>
      <c r="C48" s="1">
        <v>46</v>
      </c>
      <c r="D48" s="1">
        <v>29</v>
      </c>
      <c r="E48" s="1" t="s">
        <v>14</v>
      </c>
      <c r="F48" s="1" t="s">
        <v>33</v>
      </c>
      <c r="G48" s="1">
        <v>257.71697799999998</v>
      </c>
      <c r="H48" s="1">
        <v>294.85632900000002</v>
      </c>
      <c r="I48" s="1">
        <v>41.308613999999999</v>
      </c>
      <c r="J48" s="1">
        <v>75989.482155000005</v>
      </c>
      <c r="K48" s="1">
        <v>1105.1466150000001</v>
      </c>
    </row>
    <row r="49" spans="2:11" ht="32.35" customHeight="1" x14ac:dyDescent="0.45">
      <c r="B49" s="1" t="s">
        <v>62</v>
      </c>
      <c r="C49" s="1">
        <v>47</v>
      </c>
      <c r="D49" s="1">
        <v>30</v>
      </c>
      <c r="E49" s="1" t="s">
        <v>22</v>
      </c>
      <c r="F49" s="1" t="s">
        <v>33</v>
      </c>
      <c r="G49" s="1">
        <v>201.27285900000001</v>
      </c>
      <c r="H49" s="1">
        <v>209.390626</v>
      </c>
      <c r="I49" s="1">
        <v>17.650124000000002</v>
      </c>
      <c r="J49" s="1">
        <v>42144.649988999998</v>
      </c>
      <c r="K49" s="1">
        <v>821.32696999999996</v>
      </c>
    </row>
    <row r="50" spans="2:11" ht="32.35" customHeight="1" x14ac:dyDescent="0.45">
      <c r="B50" s="1" t="s">
        <v>63</v>
      </c>
      <c r="C50" s="1">
        <v>48</v>
      </c>
      <c r="D50" s="1">
        <v>31</v>
      </c>
      <c r="E50" s="1" t="s">
        <v>14</v>
      </c>
      <c r="F50" s="1" t="s">
        <v>33</v>
      </c>
      <c r="G50" s="1">
        <v>262.66928999999999</v>
      </c>
      <c r="H50" s="1">
        <v>313.25596300000001</v>
      </c>
      <c r="I50" s="1">
        <v>10.491477</v>
      </c>
      <c r="J50" s="1">
        <v>82282.721304999999</v>
      </c>
      <c r="K50" s="1">
        <v>1151.8505050000001</v>
      </c>
    </row>
    <row r="51" spans="2:11" ht="32.35" customHeight="1" x14ac:dyDescent="0.45">
      <c r="B51" s="1" t="s">
        <v>64</v>
      </c>
      <c r="C51" s="1">
        <v>49</v>
      </c>
      <c r="D51" s="1">
        <v>32</v>
      </c>
      <c r="E51" s="1" t="s">
        <v>14</v>
      </c>
      <c r="F51" s="1" t="s">
        <v>33</v>
      </c>
      <c r="G51" s="1">
        <v>229.99914799999999</v>
      </c>
      <c r="H51" s="1">
        <v>259.51649200000003</v>
      </c>
      <c r="I51" s="1">
        <v>1.6365769999999999</v>
      </c>
      <c r="J51" s="1">
        <v>59688.572104999999</v>
      </c>
      <c r="K51" s="1">
        <v>979.03128000000004</v>
      </c>
    </row>
    <row r="52" spans="2:11" ht="32.35" customHeight="1" x14ac:dyDescent="0.45">
      <c r="B52" s="1" t="s">
        <v>65</v>
      </c>
      <c r="C52" s="1">
        <v>50</v>
      </c>
      <c r="D52" s="1">
        <v>33</v>
      </c>
      <c r="E52" s="1" t="s">
        <v>22</v>
      </c>
      <c r="F52" s="1" t="s">
        <v>33</v>
      </c>
      <c r="G52" s="1">
        <v>202.616298</v>
      </c>
      <c r="H52" s="1">
        <v>217.33269899999999</v>
      </c>
      <c r="I52" s="1">
        <v>84.173658000000003</v>
      </c>
      <c r="J52" s="1">
        <v>44035.147014000002</v>
      </c>
      <c r="K52" s="1">
        <v>839.89799500000004</v>
      </c>
    </row>
    <row r="53" spans="2:11" ht="32.35" customHeight="1" x14ac:dyDescent="0.45">
      <c r="B53" s="1" t="s">
        <v>66</v>
      </c>
      <c r="C53" s="1">
        <v>51</v>
      </c>
      <c r="D53" s="1">
        <v>34</v>
      </c>
      <c r="E53" s="1" t="s">
        <v>22</v>
      </c>
      <c r="F53" s="1" t="s">
        <v>33</v>
      </c>
      <c r="G53" s="1">
        <v>164.272593</v>
      </c>
      <c r="H53" s="1">
        <v>184.42011600000001</v>
      </c>
      <c r="I53" s="1">
        <v>54.688786999999998</v>
      </c>
      <c r="J53" s="1">
        <v>30295.170694</v>
      </c>
      <c r="K53" s="1">
        <v>697.38541799999996</v>
      </c>
    </row>
    <row r="54" spans="2:11" ht="32.35" customHeight="1" x14ac:dyDescent="0.45">
      <c r="B54" s="1" t="s">
        <v>67</v>
      </c>
      <c r="C54" s="1">
        <v>52</v>
      </c>
      <c r="D54" s="1">
        <v>35</v>
      </c>
      <c r="E54" s="1" t="s">
        <v>22</v>
      </c>
      <c r="F54" s="1" t="s">
        <v>33</v>
      </c>
      <c r="G54" s="1">
        <v>143.30937700000001</v>
      </c>
      <c r="H54" s="1">
        <v>167.781353</v>
      </c>
      <c r="I54" s="1">
        <v>160.34617600000001</v>
      </c>
      <c r="J54" s="1">
        <v>24044.641184</v>
      </c>
      <c r="K54" s="1">
        <v>622.18146000000002</v>
      </c>
    </row>
    <row r="55" spans="2:11" ht="32.35" customHeight="1" x14ac:dyDescent="0.45">
      <c r="B55" s="1" t="s">
        <v>68</v>
      </c>
      <c r="C55" s="1">
        <v>53</v>
      </c>
      <c r="D55" s="1">
        <v>36</v>
      </c>
      <c r="E55" s="1" t="s">
        <v>22</v>
      </c>
      <c r="F55" s="1" t="s">
        <v>33</v>
      </c>
      <c r="G55" s="1">
        <v>278.177459</v>
      </c>
      <c r="H55" s="1">
        <v>309.39095900000001</v>
      </c>
      <c r="I55" s="1">
        <v>174.64417499999999</v>
      </c>
      <c r="J55" s="1">
        <v>86065.590729999996</v>
      </c>
      <c r="K55" s="1">
        <v>1175.136835</v>
      </c>
    </row>
    <row r="56" spans="2:11" ht="32.35" customHeight="1" x14ac:dyDescent="0.45">
      <c r="B56" s="1" t="s">
        <v>69</v>
      </c>
      <c r="C56" s="1">
        <v>54</v>
      </c>
      <c r="D56" s="1">
        <v>37</v>
      </c>
      <c r="E56" s="1" t="s">
        <v>22</v>
      </c>
      <c r="F56" s="1" t="s">
        <v>33</v>
      </c>
      <c r="G56" s="1">
        <v>99.21875</v>
      </c>
      <c r="H56" s="1">
        <v>99.21875</v>
      </c>
      <c r="I56" s="1">
        <v>126.86989800000001</v>
      </c>
      <c r="J56" s="1">
        <v>9844.3603519999997</v>
      </c>
      <c r="K56" s="1">
        <v>396.875</v>
      </c>
    </row>
    <row r="57" spans="2:11" ht="32.35" customHeight="1" x14ac:dyDescent="0.45">
      <c r="B57" s="1" t="s">
        <v>70</v>
      </c>
      <c r="C57" s="1">
        <v>55</v>
      </c>
      <c r="D57" s="1">
        <v>38</v>
      </c>
      <c r="E57" s="1" t="s">
        <v>22</v>
      </c>
      <c r="F57" s="1" t="s">
        <v>33</v>
      </c>
      <c r="G57" s="1">
        <v>114.652778</v>
      </c>
      <c r="H57" s="1">
        <v>125.677083</v>
      </c>
      <c r="I57" s="1">
        <v>53.130102000000001</v>
      </c>
      <c r="J57" s="1">
        <v>14409.226707</v>
      </c>
      <c r="K57" s="1">
        <v>480.65972199999999</v>
      </c>
    </row>
    <row r="58" spans="2:11" ht="32.35" customHeight="1" x14ac:dyDescent="0.45">
      <c r="B58" s="1" t="s">
        <v>71</v>
      </c>
      <c r="C58" s="1">
        <v>56</v>
      </c>
      <c r="D58" s="1">
        <v>39</v>
      </c>
      <c r="E58" s="1" t="s">
        <v>22</v>
      </c>
      <c r="F58" s="1" t="s">
        <v>33</v>
      </c>
      <c r="G58" s="1">
        <v>223.79595800000001</v>
      </c>
      <c r="H58" s="1">
        <v>224.598094</v>
      </c>
      <c r="I58" s="1">
        <v>140.90614099999999</v>
      </c>
      <c r="J58" s="1">
        <v>50264.145794999997</v>
      </c>
      <c r="K58" s="1">
        <v>896.78810599999997</v>
      </c>
    </row>
    <row r="59" spans="2:11" ht="32.35" customHeight="1" x14ac:dyDescent="0.45">
      <c r="B59" s="1" t="s">
        <v>72</v>
      </c>
      <c r="C59" s="1">
        <v>57</v>
      </c>
      <c r="D59" s="1">
        <v>40</v>
      </c>
      <c r="E59" s="1" t="s">
        <v>22</v>
      </c>
      <c r="F59" s="1" t="s">
        <v>33</v>
      </c>
      <c r="G59" s="1">
        <v>117.012039</v>
      </c>
      <c r="H59" s="1">
        <v>124.780474</v>
      </c>
      <c r="I59" s="1">
        <v>93.366461000000001</v>
      </c>
      <c r="J59" s="1">
        <v>14600.817698999999</v>
      </c>
      <c r="K59" s="1">
        <v>483.58502600000003</v>
      </c>
    </row>
    <row r="60" spans="2:11" ht="32.35" customHeight="1" x14ac:dyDescent="0.45">
      <c r="B60" s="1" t="s">
        <v>73</v>
      </c>
      <c r="C60" s="1">
        <v>58</v>
      </c>
      <c r="D60" s="1">
        <v>41</v>
      </c>
      <c r="E60" s="1" t="s">
        <v>14</v>
      </c>
      <c r="F60" s="1" t="s">
        <v>33</v>
      </c>
      <c r="G60" s="1">
        <v>142.56958700000001</v>
      </c>
      <c r="H60" s="1">
        <v>172.85373799999999</v>
      </c>
      <c r="I60" s="1">
        <v>76.701430000000002</v>
      </c>
      <c r="J60" s="1">
        <v>24643.686091</v>
      </c>
      <c r="K60" s="1">
        <v>630.84665099999995</v>
      </c>
    </row>
    <row r="61" spans="2:11" ht="32.35" customHeight="1" x14ac:dyDescent="0.45">
      <c r="B61" s="1" t="s">
        <v>74</v>
      </c>
      <c r="C61" s="1">
        <v>59</v>
      </c>
      <c r="D61" s="1">
        <v>42</v>
      </c>
      <c r="E61" s="1" t="s">
        <v>22</v>
      </c>
      <c r="F61" s="1" t="s">
        <v>33</v>
      </c>
      <c r="G61" s="1">
        <v>201.19357600000001</v>
      </c>
      <c r="H61" s="1">
        <v>212.217882</v>
      </c>
      <c r="I61" s="1">
        <v>90</v>
      </c>
      <c r="J61" s="1">
        <v>42696.874642000002</v>
      </c>
      <c r="K61" s="1">
        <v>826.82291699999996</v>
      </c>
    </row>
    <row r="62" spans="2:11" ht="32.35" customHeight="1" x14ac:dyDescent="0.45">
      <c r="B62" s="1" t="s">
        <v>75</v>
      </c>
      <c r="C62" s="1">
        <v>60</v>
      </c>
      <c r="D62" s="1">
        <v>43</v>
      </c>
      <c r="E62" s="1" t="s">
        <v>22</v>
      </c>
      <c r="F62" s="1" t="s">
        <v>33</v>
      </c>
      <c r="G62" s="1">
        <v>277.39317999999997</v>
      </c>
      <c r="H62" s="1">
        <v>337.49940500000002</v>
      </c>
      <c r="I62" s="1">
        <v>87.273689000000005</v>
      </c>
      <c r="J62" s="1">
        <v>93620.033299000002</v>
      </c>
      <c r="K62" s="1">
        <v>1229.785171</v>
      </c>
    </row>
    <row r="63" spans="2:11" ht="32.35" customHeight="1" x14ac:dyDescent="0.45">
      <c r="B63" s="1" t="s">
        <v>76</v>
      </c>
      <c r="C63" s="1">
        <v>61</v>
      </c>
      <c r="D63" s="1">
        <v>44</v>
      </c>
      <c r="E63" s="1" t="s">
        <v>22</v>
      </c>
      <c r="F63" s="1" t="s">
        <v>33</v>
      </c>
      <c r="G63" s="1">
        <v>269.06671999999998</v>
      </c>
      <c r="H63" s="1">
        <v>280.15971300000001</v>
      </c>
      <c r="I63" s="1">
        <v>79.695154000000002</v>
      </c>
      <c r="J63" s="1">
        <v>75381.655008999995</v>
      </c>
      <c r="K63" s="1">
        <v>1098.4528660000001</v>
      </c>
    </row>
    <row r="64" spans="2:11" ht="32.35" customHeight="1" x14ac:dyDescent="0.45">
      <c r="B64" s="1" t="s">
        <v>77</v>
      </c>
      <c r="C64" s="1">
        <v>62</v>
      </c>
      <c r="D64" s="1">
        <v>45</v>
      </c>
      <c r="E64" s="1" t="s">
        <v>14</v>
      </c>
      <c r="F64" s="1" t="s">
        <v>33</v>
      </c>
      <c r="G64" s="1">
        <v>323.296424</v>
      </c>
      <c r="H64" s="1">
        <v>362.96819900000003</v>
      </c>
      <c r="I64" s="1">
        <v>21.250506000000001</v>
      </c>
      <c r="J64" s="1">
        <v>117346.320853</v>
      </c>
      <c r="K64" s="1">
        <v>1372.5292469999999</v>
      </c>
    </row>
    <row r="65" spans="2:11" ht="32.35" customHeight="1" x14ac:dyDescent="0.45">
      <c r="B65" s="1" t="s">
        <v>78</v>
      </c>
      <c r="C65" s="1">
        <v>63</v>
      </c>
      <c r="D65" s="1">
        <v>46</v>
      </c>
      <c r="E65" s="1" t="s">
        <v>11</v>
      </c>
      <c r="F65" s="1" t="s">
        <v>33</v>
      </c>
      <c r="G65" s="1">
        <v>380.39744999999999</v>
      </c>
      <c r="H65" s="1">
        <v>1104.3063669999999</v>
      </c>
      <c r="I65" s="1">
        <v>4.1247670000000003</v>
      </c>
      <c r="J65" s="1">
        <v>420075.32657400001</v>
      </c>
      <c r="K65" s="1">
        <v>2969.407635</v>
      </c>
    </row>
    <row r="66" spans="2:11" ht="32.35" customHeight="1" x14ac:dyDescent="0.45">
      <c r="B66" s="1" t="s">
        <v>79</v>
      </c>
      <c r="C66" s="1">
        <v>64</v>
      </c>
      <c r="D66" s="1">
        <v>47</v>
      </c>
      <c r="E66" s="1" t="s">
        <v>14</v>
      </c>
      <c r="F66" s="1" t="s">
        <v>33</v>
      </c>
      <c r="G66" s="1">
        <v>216.70869099999999</v>
      </c>
      <c r="H66" s="1">
        <v>335.67237</v>
      </c>
      <c r="I66" s="1">
        <v>14.620874000000001</v>
      </c>
      <c r="J66" s="1">
        <v>72743.119734000007</v>
      </c>
      <c r="K66" s="1">
        <v>1104.762121</v>
      </c>
    </row>
    <row r="67" spans="2:11" ht="32.35" customHeight="1" x14ac:dyDescent="0.45">
      <c r="B67" s="1" t="s">
        <v>80</v>
      </c>
      <c r="C67" s="1">
        <v>65</v>
      </c>
      <c r="D67" s="1">
        <v>48</v>
      </c>
      <c r="E67" s="1" t="s">
        <v>22</v>
      </c>
      <c r="F67" s="1" t="s">
        <v>33</v>
      </c>
      <c r="G67" s="1">
        <v>291.307233</v>
      </c>
      <c r="H67" s="1">
        <v>297.516167</v>
      </c>
      <c r="I67" s="1">
        <v>18.060472000000001</v>
      </c>
      <c r="J67" s="1">
        <v>86668.611107000004</v>
      </c>
      <c r="K67" s="1">
        <v>1177.646798</v>
      </c>
    </row>
    <row r="68" spans="2:11" ht="32.35" customHeight="1" x14ac:dyDescent="0.45">
      <c r="B68" s="1" t="s">
        <v>81</v>
      </c>
      <c r="C68" s="1">
        <v>66</v>
      </c>
      <c r="D68" s="1">
        <v>49</v>
      </c>
      <c r="E68" s="1" t="s">
        <v>11</v>
      </c>
      <c r="F68" s="1" t="s">
        <v>33</v>
      </c>
      <c r="G68" s="1">
        <v>267.40923600000002</v>
      </c>
      <c r="H68" s="1">
        <v>1862.4153369999999</v>
      </c>
      <c r="I68" s="1">
        <v>2.7512279999999998</v>
      </c>
      <c r="J68" s="1">
        <v>498027.06183700002</v>
      </c>
      <c r="K68" s="1">
        <v>4259.6491459999997</v>
      </c>
    </row>
    <row r="69" spans="2:11" ht="32.35" customHeight="1" x14ac:dyDescent="0.45">
      <c r="B69" s="1" t="s">
        <v>82</v>
      </c>
      <c r="C69" s="1">
        <v>67</v>
      </c>
      <c r="D69" s="1">
        <v>50</v>
      </c>
      <c r="E69" s="1" t="s">
        <v>14</v>
      </c>
      <c r="F69" s="1" t="s">
        <v>33</v>
      </c>
      <c r="G69" s="1">
        <v>263.30771399999998</v>
      </c>
      <c r="H69" s="1">
        <v>419.57709</v>
      </c>
      <c r="I69" s="1">
        <v>38.927543999999997</v>
      </c>
      <c r="J69" s="1">
        <v>110477.884408</v>
      </c>
      <c r="K69" s="1">
        <v>1365.7696080000001</v>
      </c>
    </row>
    <row r="70" spans="2:11" ht="32.35" customHeight="1" x14ac:dyDescent="0.45">
      <c r="B70" s="1" t="s">
        <v>83</v>
      </c>
      <c r="C70" s="1">
        <v>68</v>
      </c>
      <c r="D70" s="1">
        <v>51</v>
      </c>
      <c r="E70" s="1" t="s">
        <v>11</v>
      </c>
      <c r="F70" s="1" t="s">
        <v>33</v>
      </c>
      <c r="G70" s="1">
        <v>221.89939899999999</v>
      </c>
      <c r="H70" s="1">
        <v>571.58907599999998</v>
      </c>
      <c r="I70" s="1">
        <v>20.606261</v>
      </c>
      <c r="J70" s="1">
        <v>126835.272123</v>
      </c>
      <c r="K70" s="1">
        <v>1586.9769490000001</v>
      </c>
    </row>
    <row r="71" spans="2:11" ht="32.35" customHeight="1" x14ac:dyDescent="0.45">
      <c r="B71" s="1" t="s">
        <v>84</v>
      </c>
      <c r="C71" s="1">
        <v>69</v>
      </c>
      <c r="D71" s="1">
        <v>52</v>
      </c>
      <c r="E71" s="1" t="s">
        <v>14</v>
      </c>
      <c r="F71" s="1" t="s">
        <v>33</v>
      </c>
      <c r="G71" s="1">
        <v>279.005291</v>
      </c>
      <c r="H71" s="1">
        <v>431.12050399999998</v>
      </c>
      <c r="I71" s="1">
        <v>33.690067999999997</v>
      </c>
      <c r="J71" s="1">
        <v>120284.901589</v>
      </c>
      <c r="K71" s="1">
        <v>1420.2515900000001</v>
      </c>
    </row>
    <row r="72" spans="2:11" ht="32.35" customHeight="1" x14ac:dyDescent="0.45">
      <c r="B72" s="1" t="s">
        <v>85</v>
      </c>
      <c r="C72" s="1">
        <v>70</v>
      </c>
      <c r="D72" s="1">
        <v>53</v>
      </c>
      <c r="E72" s="1" t="s">
        <v>28</v>
      </c>
      <c r="F72" s="1" t="s">
        <v>33</v>
      </c>
      <c r="G72" s="1">
        <v>82.448429000000004</v>
      </c>
      <c r="H72" s="1">
        <v>100.140851</v>
      </c>
      <c r="I72" s="1">
        <v>34.695154000000002</v>
      </c>
      <c r="J72" s="1">
        <v>8256.4559119999994</v>
      </c>
      <c r="K72" s="1">
        <v>365.178561</v>
      </c>
    </row>
    <row r="73" spans="2:11" ht="32.35" customHeight="1" x14ac:dyDescent="0.45">
      <c r="B73" s="1" t="s">
        <v>86</v>
      </c>
      <c r="C73" s="1">
        <v>71</v>
      </c>
      <c r="D73" s="1">
        <v>54</v>
      </c>
      <c r="E73" s="1" t="s">
        <v>14</v>
      </c>
      <c r="F73" s="1" t="s">
        <v>33</v>
      </c>
      <c r="G73" s="1">
        <v>200.934775</v>
      </c>
      <c r="H73" s="1">
        <v>279.38497599999999</v>
      </c>
      <c r="I73" s="1">
        <v>47.978020999999998</v>
      </c>
      <c r="J73" s="1">
        <v>56138.157125999998</v>
      </c>
      <c r="K73" s="1">
        <v>960.639501</v>
      </c>
    </row>
    <row r="74" spans="2:11" ht="32.35" customHeight="1" x14ac:dyDescent="0.45">
      <c r="B74" s="1" t="s">
        <v>87</v>
      </c>
      <c r="C74" s="1">
        <v>72</v>
      </c>
      <c r="D74" s="1">
        <v>55</v>
      </c>
      <c r="E74" s="1" t="s">
        <v>14</v>
      </c>
      <c r="F74" s="1" t="s">
        <v>33</v>
      </c>
      <c r="G74" s="1">
        <v>224.146444</v>
      </c>
      <c r="H74" s="1">
        <v>326.02300500000001</v>
      </c>
      <c r="I74" s="1">
        <v>45.271541999999997</v>
      </c>
      <c r="J74" s="1">
        <v>73076.897433999999</v>
      </c>
      <c r="K74" s="1">
        <v>1100.3388990000001</v>
      </c>
    </row>
    <row r="75" spans="2:11" ht="32.35" customHeight="1" x14ac:dyDescent="0.45">
      <c r="B75" s="1" t="s">
        <v>88</v>
      </c>
      <c r="C75" s="1">
        <v>73</v>
      </c>
      <c r="D75" s="1">
        <v>56</v>
      </c>
      <c r="E75" s="1" t="s">
        <v>22</v>
      </c>
      <c r="F75" s="1" t="s">
        <v>33</v>
      </c>
      <c r="G75" s="1">
        <v>238.87145100000001</v>
      </c>
      <c r="H75" s="1">
        <v>241.50683799999999</v>
      </c>
      <c r="I75" s="1">
        <v>19.358993999999999</v>
      </c>
      <c r="J75" s="1">
        <v>57689.088684000002</v>
      </c>
      <c r="K75" s="1">
        <v>960.75657699999999</v>
      </c>
    </row>
    <row r="76" spans="2:11" ht="32.35" customHeight="1" x14ac:dyDescent="0.45">
      <c r="B76" s="1" t="s">
        <v>89</v>
      </c>
      <c r="C76" s="1">
        <v>74</v>
      </c>
      <c r="D76" s="1">
        <v>57</v>
      </c>
      <c r="E76" s="1" t="s">
        <v>11</v>
      </c>
      <c r="F76" s="1" t="s">
        <v>33</v>
      </c>
      <c r="G76" s="1">
        <v>278.03905800000001</v>
      </c>
      <c r="H76" s="1">
        <v>1037.189147</v>
      </c>
      <c r="I76" s="1">
        <v>5.2623949999999997</v>
      </c>
      <c r="J76" s="1">
        <v>288379.09366299998</v>
      </c>
      <c r="K76" s="1">
        <v>2630.4564099999998</v>
      </c>
    </row>
    <row r="77" spans="2:11" ht="32.35" customHeight="1" x14ac:dyDescent="0.45">
      <c r="B77" s="1" t="s">
        <v>90</v>
      </c>
      <c r="C77" s="1">
        <v>75</v>
      </c>
      <c r="D77" s="1">
        <v>0</v>
      </c>
      <c r="E77" s="1" t="s">
        <v>11</v>
      </c>
      <c r="F77" s="1" t="s">
        <v>91</v>
      </c>
      <c r="G77" s="1">
        <v>483.54691800000001</v>
      </c>
      <c r="H77" s="1">
        <v>1532.15338</v>
      </c>
      <c r="I77" s="1">
        <v>6.42347</v>
      </c>
      <c r="J77" s="1">
        <v>740868.04556100001</v>
      </c>
      <c r="K77" s="1">
        <v>4031.4005969999998</v>
      </c>
    </row>
    <row r="78" spans="2:11" ht="32.35" customHeight="1" x14ac:dyDescent="0.45">
      <c r="B78" s="1" t="s">
        <v>92</v>
      </c>
      <c r="C78" s="1">
        <v>76</v>
      </c>
      <c r="D78" s="1">
        <v>1</v>
      </c>
      <c r="E78" s="1" t="s">
        <v>14</v>
      </c>
      <c r="F78" s="1" t="s">
        <v>91</v>
      </c>
      <c r="G78" s="1">
        <v>120.42233899999999</v>
      </c>
      <c r="H78" s="1">
        <v>207.87990400000001</v>
      </c>
      <c r="I78" s="1">
        <v>174.09385900000001</v>
      </c>
      <c r="J78" s="1">
        <v>25033.384333000002</v>
      </c>
      <c r="K78" s="1">
        <v>656.60448699999995</v>
      </c>
    </row>
    <row r="79" spans="2:11" ht="32.35" customHeight="1" x14ac:dyDescent="0.45">
      <c r="B79" s="1" t="s">
        <v>93</v>
      </c>
      <c r="C79" s="1">
        <v>77</v>
      </c>
      <c r="D79" s="1">
        <v>2</v>
      </c>
      <c r="E79" s="1" t="s">
        <v>28</v>
      </c>
      <c r="F79" s="1" t="s">
        <v>91</v>
      </c>
      <c r="G79" s="1">
        <v>138.359354</v>
      </c>
      <c r="H79" s="1">
        <v>148.399946</v>
      </c>
      <c r="I79" s="1">
        <v>79.380345000000005</v>
      </c>
      <c r="J79" s="1">
        <v>20532.520635000001</v>
      </c>
      <c r="K79" s="1">
        <v>573.51859999999999</v>
      </c>
    </row>
    <row r="80" spans="2:11" ht="32.35" customHeight="1" x14ac:dyDescent="0.45">
      <c r="B80" s="1" t="s">
        <v>94</v>
      </c>
      <c r="C80" s="1">
        <v>78</v>
      </c>
      <c r="D80" s="1">
        <v>3</v>
      </c>
      <c r="E80" s="1" t="s">
        <v>28</v>
      </c>
      <c r="F80" s="1" t="s">
        <v>91</v>
      </c>
      <c r="G80" s="1">
        <v>176.073802</v>
      </c>
      <c r="H80" s="1">
        <v>193.335939</v>
      </c>
      <c r="I80" s="1">
        <v>123.11134199999999</v>
      </c>
      <c r="J80" s="1">
        <v>34041.393877000002</v>
      </c>
      <c r="K80" s="1">
        <v>738.81948199999999</v>
      </c>
    </row>
    <row r="81" spans="2:11" ht="32.35" customHeight="1" x14ac:dyDescent="0.45">
      <c r="B81" s="1" t="s">
        <v>95</v>
      </c>
      <c r="C81" s="1">
        <v>79</v>
      </c>
      <c r="D81" s="1">
        <v>0</v>
      </c>
      <c r="E81" s="1" t="s">
        <v>14</v>
      </c>
      <c r="F81" s="1" t="s">
        <v>96</v>
      </c>
      <c r="G81" s="1">
        <v>520.91434700000002</v>
      </c>
      <c r="H81" s="1">
        <v>1007.045146</v>
      </c>
      <c r="I81" s="1">
        <v>162.10386700000001</v>
      </c>
      <c r="J81" s="1">
        <v>524584.26529899996</v>
      </c>
      <c r="K81" s="1">
        <v>3055.9189879999999</v>
      </c>
    </row>
    <row r="82" spans="2:11" ht="32.35" customHeight="1" x14ac:dyDescent="0.45">
      <c r="B82" s="1" t="s">
        <v>97</v>
      </c>
      <c r="C82" s="1">
        <v>80</v>
      </c>
      <c r="D82" s="1">
        <v>1</v>
      </c>
      <c r="E82" s="1" t="s">
        <v>22</v>
      </c>
      <c r="F82" s="1" t="s">
        <v>96</v>
      </c>
      <c r="G82" s="1">
        <v>341.53089499999999</v>
      </c>
      <c r="H82" s="1">
        <v>362.68767600000001</v>
      </c>
      <c r="I82" s="1">
        <v>90</v>
      </c>
      <c r="J82" s="1">
        <v>123869.046449</v>
      </c>
      <c r="K82" s="1">
        <v>1408.4371410000001</v>
      </c>
    </row>
    <row r="83" spans="2:11" ht="32.35" customHeight="1" x14ac:dyDescent="0.45">
      <c r="B83" s="1" t="s">
        <v>98</v>
      </c>
      <c r="C83" s="1">
        <v>81</v>
      </c>
      <c r="D83" s="1">
        <v>2</v>
      </c>
      <c r="E83" s="1" t="s">
        <v>14</v>
      </c>
      <c r="F83" s="1" t="s">
        <v>96</v>
      </c>
      <c r="G83" s="1">
        <v>245.422147</v>
      </c>
      <c r="H83" s="1">
        <v>248.42280299999999</v>
      </c>
      <c r="I83" s="1">
        <v>109.855214</v>
      </c>
      <c r="J83" s="1">
        <v>60968.457648000003</v>
      </c>
      <c r="K83" s="1">
        <v>987.68989999999997</v>
      </c>
    </row>
    <row r="84" spans="2:11" ht="32.35" customHeight="1" x14ac:dyDescent="0.45">
      <c r="B84" s="1" t="s">
        <v>99</v>
      </c>
      <c r="C84" s="1">
        <v>82</v>
      </c>
      <c r="D84" s="1">
        <v>3</v>
      </c>
      <c r="E84" s="1" t="s">
        <v>14</v>
      </c>
      <c r="F84" s="1" t="s">
        <v>96</v>
      </c>
      <c r="G84" s="1">
        <v>237.81232499999999</v>
      </c>
      <c r="H84" s="1">
        <v>360.541357</v>
      </c>
      <c r="I84" s="1">
        <v>165.735488</v>
      </c>
      <c r="J84" s="1">
        <v>85741.178369000001</v>
      </c>
      <c r="K84" s="1">
        <v>1196.7073640000001</v>
      </c>
    </row>
    <row r="85" spans="2:11" ht="32.35" customHeight="1" x14ac:dyDescent="0.45">
      <c r="B85" s="1" t="s">
        <v>100</v>
      </c>
      <c r="C85" s="1">
        <v>83</v>
      </c>
      <c r="D85" s="1">
        <v>4</v>
      </c>
      <c r="E85" s="1" t="s">
        <v>14</v>
      </c>
      <c r="F85" s="1" t="s">
        <v>96</v>
      </c>
      <c r="G85" s="1">
        <v>228.63104300000001</v>
      </c>
      <c r="H85" s="1">
        <v>260.00522999999998</v>
      </c>
      <c r="I85" s="1">
        <v>6.340192</v>
      </c>
      <c r="J85" s="1">
        <v>59445.266945000003</v>
      </c>
      <c r="K85" s="1">
        <v>977.27254600000003</v>
      </c>
    </row>
    <row r="86" spans="2:11" ht="32.35" customHeight="1" x14ac:dyDescent="0.45">
      <c r="B86" s="1" t="s">
        <v>101</v>
      </c>
      <c r="C86" s="1">
        <v>84</v>
      </c>
      <c r="D86" s="1">
        <v>5</v>
      </c>
      <c r="E86" s="1" t="s">
        <v>28</v>
      </c>
      <c r="F86" s="1" t="s">
        <v>96</v>
      </c>
      <c r="G86" s="1">
        <v>113.926062</v>
      </c>
      <c r="H86" s="1">
        <v>117.179461</v>
      </c>
      <c r="I86" s="1">
        <v>169.114473</v>
      </c>
      <c r="J86" s="1">
        <v>13349.794544</v>
      </c>
      <c r="K86" s="1">
        <v>462.21104600000001</v>
      </c>
    </row>
    <row r="87" spans="2:11" ht="32.35" customHeight="1" x14ac:dyDescent="0.45">
      <c r="B87" s="1" t="s">
        <v>102</v>
      </c>
      <c r="C87" s="1">
        <v>85</v>
      </c>
      <c r="D87" s="1">
        <v>6</v>
      </c>
      <c r="E87" s="1" t="s">
        <v>14</v>
      </c>
      <c r="F87" s="1" t="s">
        <v>96</v>
      </c>
      <c r="G87" s="1">
        <v>214.403312</v>
      </c>
      <c r="H87" s="1">
        <v>269.06000799999998</v>
      </c>
      <c r="I87" s="1">
        <v>170.537678</v>
      </c>
      <c r="J87" s="1">
        <v>57687.356999000003</v>
      </c>
      <c r="K87" s="1">
        <v>966.92664100000002</v>
      </c>
    </row>
    <row r="88" spans="2:11" ht="32.35" customHeight="1" x14ac:dyDescent="0.45">
      <c r="B88" s="1" t="s">
        <v>103</v>
      </c>
      <c r="C88" s="1">
        <v>86</v>
      </c>
      <c r="D88" s="1">
        <v>7</v>
      </c>
      <c r="E88" s="1" t="s">
        <v>14</v>
      </c>
      <c r="F88" s="1" t="s">
        <v>96</v>
      </c>
      <c r="G88" s="1">
        <v>154.87085200000001</v>
      </c>
      <c r="H88" s="1">
        <v>232.684549</v>
      </c>
      <c r="I88" s="1">
        <v>16.355816999999998</v>
      </c>
      <c r="J88" s="1">
        <v>36036.054325999998</v>
      </c>
      <c r="K88" s="1">
        <v>775.11080200000004</v>
      </c>
    </row>
    <row r="89" spans="2:11" ht="32.35" customHeight="1" x14ac:dyDescent="0.45">
      <c r="B89" s="1" t="s">
        <v>104</v>
      </c>
      <c r="C89" s="1">
        <v>87</v>
      </c>
      <c r="D89" s="1">
        <v>8</v>
      </c>
      <c r="E89" s="1" t="s">
        <v>22</v>
      </c>
      <c r="F89" s="1" t="s">
        <v>96</v>
      </c>
      <c r="G89" s="1">
        <v>154.37323000000001</v>
      </c>
      <c r="H89" s="1">
        <v>181.04932199999999</v>
      </c>
      <c r="I89" s="1">
        <v>113.55226399999999</v>
      </c>
      <c r="J89" s="1">
        <v>27949.168645999998</v>
      </c>
      <c r="K89" s="1">
        <v>670.84510399999999</v>
      </c>
    </row>
    <row r="90" spans="2:11" ht="32.35" customHeight="1" x14ac:dyDescent="0.45">
      <c r="B90" s="1" t="s">
        <v>105</v>
      </c>
      <c r="C90" s="1">
        <v>88</v>
      </c>
      <c r="D90" s="1">
        <v>9</v>
      </c>
      <c r="E90" s="1" t="s">
        <v>22</v>
      </c>
      <c r="F90" s="1" t="s">
        <v>96</v>
      </c>
      <c r="G90" s="1">
        <v>161.38075499999999</v>
      </c>
      <c r="H90" s="1">
        <v>169.793586</v>
      </c>
      <c r="I90" s="1">
        <v>15.524111</v>
      </c>
      <c r="J90" s="1">
        <v>27401.417205000002</v>
      </c>
      <c r="K90" s="1">
        <v>662.34868300000005</v>
      </c>
    </row>
    <row r="91" spans="2:11" ht="32.35" customHeight="1" x14ac:dyDescent="0.45">
      <c r="B91" s="1" t="s">
        <v>106</v>
      </c>
      <c r="C91" s="1">
        <v>89</v>
      </c>
      <c r="D91" s="1">
        <v>10</v>
      </c>
      <c r="E91" s="1" t="s">
        <v>22</v>
      </c>
      <c r="F91" s="1" t="s">
        <v>96</v>
      </c>
      <c r="G91" s="1">
        <v>123.918289</v>
      </c>
      <c r="H91" s="1">
        <v>151.119865</v>
      </c>
      <c r="I91" s="1">
        <v>0</v>
      </c>
      <c r="J91" s="1">
        <v>18726.515134000001</v>
      </c>
      <c r="K91" s="1">
        <v>550.07630800000004</v>
      </c>
    </row>
    <row r="92" spans="2:11" ht="32.35" customHeight="1" x14ac:dyDescent="0.45">
      <c r="B92" s="1" t="s">
        <v>107</v>
      </c>
      <c r="C92" s="1">
        <v>90</v>
      </c>
      <c r="D92" s="1">
        <v>11</v>
      </c>
      <c r="E92" s="1" t="s">
        <v>22</v>
      </c>
      <c r="F92" s="1" t="s">
        <v>96</v>
      </c>
      <c r="G92" s="1">
        <v>152.57707400000001</v>
      </c>
      <c r="H92" s="1">
        <v>180.50580199999999</v>
      </c>
      <c r="I92" s="1">
        <v>172.87498400000001</v>
      </c>
      <c r="J92" s="1">
        <v>27541.047159999998</v>
      </c>
      <c r="K92" s="1">
        <v>666.165753</v>
      </c>
    </row>
    <row r="93" spans="2:11" ht="32.35" customHeight="1" x14ac:dyDescent="0.45">
      <c r="B93" s="1" t="s">
        <v>108</v>
      </c>
      <c r="C93" s="1">
        <v>91</v>
      </c>
      <c r="D93" s="1">
        <v>12</v>
      </c>
      <c r="E93" s="1" t="s">
        <v>14</v>
      </c>
      <c r="F93" s="1" t="s">
        <v>96</v>
      </c>
      <c r="G93" s="1">
        <v>156.20954499999999</v>
      </c>
      <c r="H93" s="1">
        <v>209.988652</v>
      </c>
      <c r="I93" s="1">
        <v>155.55604500000001</v>
      </c>
      <c r="J93" s="1">
        <v>32802.231723999997</v>
      </c>
      <c r="K93" s="1">
        <v>732.39639299999999</v>
      </c>
    </row>
    <row r="94" spans="2:11" ht="32.35" customHeight="1" x14ac:dyDescent="0.45">
      <c r="B94" s="1" t="s">
        <v>109</v>
      </c>
      <c r="C94" s="1">
        <v>92</v>
      </c>
      <c r="D94" s="1">
        <v>13</v>
      </c>
      <c r="E94" s="1" t="s">
        <v>11</v>
      </c>
      <c r="F94" s="1" t="s">
        <v>96</v>
      </c>
      <c r="G94" s="1">
        <v>219.46177700000001</v>
      </c>
      <c r="H94" s="1">
        <v>574.71017800000004</v>
      </c>
      <c r="I94" s="1">
        <v>169.114473</v>
      </c>
      <c r="J94" s="1">
        <v>126126.91712500001</v>
      </c>
      <c r="K94" s="1">
        <v>1588.3439109999999</v>
      </c>
    </row>
    <row r="95" spans="2:11" ht="32.35" customHeight="1" x14ac:dyDescent="0.45">
      <c r="B95" s="1" t="s">
        <v>110</v>
      </c>
      <c r="C95" s="1">
        <v>93</v>
      </c>
      <c r="D95" s="1">
        <v>14</v>
      </c>
      <c r="E95" s="1" t="s">
        <v>14</v>
      </c>
      <c r="F95" s="1" t="s">
        <v>96</v>
      </c>
      <c r="G95" s="1">
        <v>129.01216700000001</v>
      </c>
      <c r="H95" s="1">
        <v>170.67757499999999</v>
      </c>
      <c r="I95" s="1">
        <v>4.7636419999999999</v>
      </c>
      <c r="J95" s="1">
        <v>22019.483833999999</v>
      </c>
      <c r="K95" s="1">
        <v>599.37948400000005</v>
      </c>
    </row>
    <row r="96" spans="2:11" ht="32.35" customHeight="1" x14ac:dyDescent="0.45">
      <c r="B96" s="1" t="s">
        <v>111</v>
      </c>
      <c r="C96" s="1">
        <v>94</v>
      </c>
      <c r="D96" s="1">
        <v>15</v>
      </c>
      <c r="E96" s="1" t="s">
        <v>14</v>
      </c>
      <c r="F96" s="1" t="s">
        <v>96</v>
      </c>
      <c r="G96" s="1">
        <v>202.491613</v>
      </c>
      <c r="H96" s="1">
        <v>451.538681</v>
      </c>
      <c r="I96" s="1">
        <v>165.60640699999999</v>
      </c>
      <c r="J96" s="1">
        <v>91432.795924999999</v>
      </c>
      <c r="K96" s="1">
        <v>1308.0605880000001</v>
      </c>
    </row>
    <row r="97" spans="2:11" ht="32.35" customHeight="1" x14ac:dyDescent="0.45">
      <c r="B97" s="1" t="s">
        <v>112</v>
      </c>
      <c r="C97" s="1">
        <v>95</v>
      </c>
      <c r="D97" s="1">
        <v>16</v>
      </c>
      <c r="E97" s="1" t="s">
        <v>14</v>
      </c>
      <c r="F97" s="1" t="s">
        <v>96</v>
      </c>
      <c r="G97" s="1">
        <v>156.29848100000001</v>
      </c>
      <c r="H97" s="1">
        <v>234.75146599999999</v>
      </c>
      <c r="I97" s="1">
        <v>5.4923250000000001</v>
      </c>
      <c r="J97" s="1">
        <v>36691.297479000001</v>
      </c>
      <c r="K97" s="1">
        <v>782.09989299999995</v>
      </c>
    </row>
    <row r="98" spans="2:11" ht="32.35" customHeight="1" x14ac:dyDescent="0.45">
      <c r="B98" s="1" t="s">
        <v>113</v>
      </c>
      <c r="C98" s="1">
        <v>96</v>
      </c>
      <c r="D98" s="1">
        <v>17</v>
      </c>
      <c r="E98" s="1" t="s">
        <v>28</v>
      </c>
      <c r="F98" s="1" t="s">
        <v>96</v>
      </c>
      <c r="G98" s="1">
        <v>83.835544999999996</v>
      </c>
      <c r="H98" s="1">
        <v>108.292649</v>
      </c>
      <c r="I98" s="1">
        <v>139.899092</v>
      </c>
      <c r="J98" s="1">
        <v>9078.7732500000002</v>
      </c>
      <c r="K98" s="1">
        <v>384.25638800000002</v>
      </c>
    </row>
    <row r="99" spans="2:11" ht="32.35" customHeight="1" x14ac:dyDescent="0.45">
      <c r="B99" s="1" t="s">
        <v>114</v>
      </c>
      <c r="C99" s="1">
        <v>97</v>
      </c>
      <c r="D99" s="1">
        <v>18</v>
      </c>
      <c r="E99" s="1" t="s">
        <v>14</v>
      </c>
      <c r="F99" s="1" t="s">
        <v>96</v>
      </c>
      <c r="G99" s="1">
        <v>176.72609600000001</v>
      </c>
      <c r="H99" s="1">
        <v>472.07390099999998</v>
      </c>
      <c r="I99" s="1">
        <v>3.678239</v>
      </c>
      <c r="J99" s="1">
        <v>83427.777516999995</v>
      </c>
      <c r="K99" s="1">
        <v>1297.5999939999999</v>
      </c>
    </row>
    <row r="100" spans="2:11" ht="32.35" customHeight="1" x14ac:dyDescent="0.45">
      <c r="B100" s="1" t="s">
        <v>115</v>
      </c>
      <c r="C100" s="1">
        <v>98</v>
      </c>
      <c r="D100" s="1">
        <v>19</v>
      </c>
      <c r="E100" s="1" t="s">
        <v>11</v>
      </c>
      <c r="F100" s="1" t="s">
        <v>96</v>
      </c>
      <c r="G100" s="1">
        <v>111.118576</v>
      </c>
      <c r="H100" s="1">
        <v>420.42986000000002</v>
      </c>
      <c r="I100" s="1">
        <v>159.01510200000001</v>
      </c>
      <c r="J100" s="1">
        <v>46717.567414999998</v>
      </c>
      <c r="K100" s="1">
        <v>1063.096873</v>
      </c>
    </row>
    <row r="101" spans="2:11" ht="32.35" customHeight="1" x14ac:dyDescent="0.45">
      <c r="B101" s="1" t="s">
        <v>116</v>
      </c>
      <c r="C101" s="1">
        <v>99</v>
      </c>
      <c r="D101" s="1">
        <v>20</v>
      </c>
      <c r="E101" s="1" t="s">
        <v>11</v>
      </c>
      <c r="F101" s="1" t="s">
        <v>96</v>
      </c>
      <c r="G101" s="1">
        <v>146.56527600000001</v>
      </c>
      <c r="H101" s="1">
        <v>1312.0176120000001</v>
      </c>
      <c r="I101" s="1">
        <v>165.6208</v>
      </c>
      <c r="J101" s="1">
        <v>192296.22375400001</v>
      </c>
      <c r="K101" s="1">
        <v>2917.1657770000002</v>
      </c>
    </row>
    <row r="102" spans="2:11" ht="32.35" customHeight="1" x14ac:dyDescent="0.45">
      <c r="B102" s="1" t="s">
        <v>117</v>
      </c>
      <c r="C102" s="1">
        <v>100</v>
      </c>
      <c r="D102" s="1">
        <v>21</v>
      </c>
      <c r="E102" s="1" t="s">
        <v>11</v>
      </c>
      <c r="F102" s="1" t="s">
        <v>96</v>
      </c>
      <c r="G102" s="1">
        <v>113.090435</v>
      </c>
      <c r="H102" s="1">
        <v>761.14716899999996</v>
      </c>
      <c r="I102" s="1">
        <v>176.97206299999999</v>
      </c>
      <c r="J102" s="1">
        <v>86078.464494</v>
      </c>
      <c r="K102" s="1">
        <v>1748.4752089999999</v>
      </c>
    </row>
    <row r="103" spans="2:11" ht="32.35" customHeight="1" x14ac:dyDescent="0.45">
      <c r="B103" s="1" t="s">
        <v>118</v>
      </c>
      <c r="C103" s="1">
        <v>101</v>
      </c>
      <c r="D103" s="1">
        <v>22</v>
      </c>
      <c r="E103" s="1" t="s">
        <v>11</v>
      </c>
      <c r="F103" s="1" t="s">
        <v>96</v>
      </c>
      <c r="G103" s="1">
        <v>222.726696</v>
      </c>
      <c r="H103" s="1">
        <v>710.83931500000006</v>
      </c>
      <c r="I103" s="1">
        <v>28.319734</v>
      </c>
      <c r="J103" s="1">
        <v>158322.89166299999</v>
      </c>
      <c r="K103" s="1">
        <v>1867.13202</v>
      </c>
    </row>
    <row r="104" spans="2:11" ht="32.35" customHeight="1" x14ac:dyDescent="0.45">
      <c r="B104" s="1" t="s">
        <v>119</v>
      </c>
      <c r="C104" s="1">
        <v>102</v>
      </c>
      <c r="D104" s="1">
        <v>23</v>
      </c>
      <c r="E104" s="1" t="s">
        <v>14</v>
      </c>
      <c r="F104" s="1" t="s">
        <v>96</v>
      </c>
      <c r="G104" s="1">
        <v>135.98882499999999</v>
      </c>
      <c r="H104" s="1">
        <v>242.30002400000001</v>
      </c>
      <c r="I104" s="1">
        <v>5.5721980000000002</v>
      </c>
      <c r="J104" s="1">
        <v>32950.095615999999</v>
      </c>
      <c r="K104" s="1">
        <v>756.57769900000005</v>
      </c>
    </row>
    <row r="105" spans="2:11" ht="32.35" customHeight="1" x14ac:dyDescent="0.45">
      <c r="B105" s="1" t="s">
        <v>120</v>
      </c>
      <c r="C105" s="1">
        <v>103</v>
      </c>
      <c r="D105" s="1">
        <v>24</v>
      </c>
      <c r="E105" s="1" t="s">
        <v>22</v>
      </c>
      <c r="F105" s="1" t="s">
        <v>96</v>
      </c>
      <c r="G105" s="1">
        <v>104.272707</v>
      </c>
      <c r="H105" s="1">
        <v>120.895892</v>
      </c>
      <c r="I105" s="1">
        <v>180</v>
      </c>
      <c r="J105" s="1">
        <v>12606.141895000001</v>
      </c>
      <c r="K105" s="1">
        <v>450.337198</v>
      </c>
    </row>
    <row r="106" spans="2:11" ht="32.35" customHeight="1" x14ac:dyDescent="0.45">
      <c r="B106" s="1" t="s">
        <v>121</v>
      </c>
      <c r="C106" s="1">
        <v>104</v>
      </c>
      <c r="D106" s="1">
        <v>25</v>
      </c>
      <c r="E106" s="1" t="s">
        <v>14</v>
      </c>
      <c r="F106" s="1" t="s">
        <v>96</v>
      </c>
      <c r="G106" s="1">
        <v>130.760739</v>
      </c>
      <c r="H106" s="1">
        <v>272.08339100000001</v>
      </c>
      <c r="I106" s="1">
        <v>170.72739799999999</v>
      </c>
      <c r="J106" s="1">
        <v>35577.825434999999</v>
      </c>
      <c r="K106" s="1">
        <v>805.68826200000001</v>
      </c>
    </row>
    <row r="107" spans="2:11" ht="32.35" customHeight="1" x14ac:dyDescent="0.45">
      <c r="B107" s="1" t="s">
        <v>122</v>
      </c>
      <c r="C107" s="1">
        <v>105</v>
      </c>
      <c r="D107" s="1">
        <v>26</v>
      </c>
      <c r="E107" s="1" t="s">
        <v>14</v>
      </c>
      <c r="F107" s="1" t="s">
        <v>96</v>
      </c>
      <c r="G107" s="1">
        <v>106.39499000000001</v>
      </c>
      <c r="H107" s="1">
        <v>298.30431099999998</v>
      </c>
      <c r="I107" s="1">
        <v>177.56335200000001</v>
      </c>
      <c r="J107" s="1">
        <v>31738.084132</v>
      </c>
      <c r="K107" s="1">
        <v>809.39860099999999</v>
      </c>
    </row>
    <row r="108" spans="2:11" ht="32.35" customHeight="1" x14ac:dyDescent="0.45">
      <c r="B108" s="1" t="s">
        <v>123</v>
      </c>
      <c r="C108" s="1">
        <v>106</v>
      </c>
      <c r="D108" s="1">
        <v>27</v>
      </c>
      <c r="E108" s="1" t="s">
        <v>11</v>
      </c>
      <c r="F108" s="1" t="s">
        <v>96</v>
      </c>
      <c r="G108" s="1">
        <v>185.26276999999999</v>
      </c>
      <c r="H108" s="1">
        <v>771.03898600000002</v>
      </c>
      <c r="I108" s="1">
        <v>165.70644200000001</v>
      </c>
      <c r="J108" s="1">
        <v>142844.81825400001</v>
      </c>
      <c r="K108" s="1">
        <v>1912.6035119999999</v>
      </c>
    </row>
    <row r="109" spans="2:11" ht="32.35" customHeight="1" x14ac:dyDescent="0.45">
      <c r="B109" s="1" t="s">
        <v>124</v>
      </c>
      <c r="C109" s="1">
        <v>107</v>
      </c>
      <c r="D109" s="1">
        <v>28</v>
      </c>
      <c r="E109" s="1" t="s">
        <v>14</v>
      </c>
      <c r="F109" s="1" t="s">
        <v>96</v>
      </c>
      <c r="G109" s="1">
        <v>116.880709</v>
      </c>
      <c r="H109" s="1">
        <v>232.419813</v>
      </c>
      <c r="I109" s="1">
        <v>6.1155039999999996</v>
      </c>
      <c r="J109" s="1">
        <v>27165.392564000002</v>
      </c>
      <c r="K109" s="1">
        <v>698.601044</v>
      </c>
    </row>
    <row r="110" spans="2:11" ht="32.35" customHeight="1" x14ac:dyDescent="0.45">
      <c r="B110" s="1" t="s">
        <v>125</v>
      </c>
      <c r="C110" s="1">
        <v>108</v>
      </c>
      <c r="D110" s="1">
        <v>29</v>
      </c>
      <c r="E110" s="1" t="s">
        <v>14</v>
      </c>
      <c r="F110" s="1" t="s">
        <v>96</v>
      </c>
      <c r="G110" s="1">
        <v>140.43332899999999</v>
      </c>
      <c r="H110" s="1">
        <v>224.42797200000001</v>
      </c>
      <c r="I110" s="1">
        <v>11.689368999999999</v>
      </c>
      <c r="J110" s="1">
        <v>31517.167132999999</v>
      </c>
      <c r="K110" s="1">
        <v>729.72260100000005</v>
      </c>
    </row>
    <row r="111" spans="2:11" ht="32.35" customHeight="1" x14ac:dyDescent="0.45">
      <c r="B111" s="1" t="s">
        <v>126</v>
      </c>
      <c r="C111" s="1">
        <v>109</v>
      </c>
      <c r="D111" s="1">
        <v>30</v>
      </c>
      <c r="E111" s="1" t="s">
        <v>14</v>
      </c>
      <c r="F111" s="1" t="s">
        <v>96</v>
      </c>
      <c r="G111" s="1">
        <v>88.069657000000007</v>
      </c>
      <c r="H111" s="1">
        <v>152.64883499999999</v>
      </c>
      <c r="I111" s="1">
        <v>8.9726269999999992</v>
      </c>
      <c r="J111" s="1">
        <v>13443.730651</v>
      </c>
      <c r="K111" s="1">
        <v>481.43698599999999</v>
      </c>
    </row>
    <row r="112" spans="2:11" ht="32.35" customHeight="1" x14ac:dyDescent="0.45">
      <c r="B112" s="1" t="s">
        <v>127</v>
      </c>
      <c r="C112" s="1">
        <v>110</v>
      </c>
      <c r="D112" s="1">
        <v>0</v>
      </c>
      <c r="E112" s="1" t="s">
        <v>11</v>
      </c>
      <c r="F112" s="1" t="s">
        <v>128</v>
      </c>
      <c r="G112" s="1">
        <v>551.24612100000002</v>
      </c>
      <c r="H112" s="1">
        <v>2631.921832</v>
      </c>
      <c r="I112" s="1">
        <v>156.388623</v>
      </c>
      <c r="J112" s="1">
        <v>1450836.700558</v>
      </c>
      <c r="K112" s="1">
        <v>6366.3359069999997</v>
      </c>
    </row>
    <row r="113" spans="2:11" ht="32.35" customHeight="1" x14ac:dyDescent="0.45">
      <c r="B113" s="1" t="s">
        <v>129</v>
      </c>
      <c r="C113" s="1">
        <v>111</v>
      </c>
      <c r="D113" s="1">
        <v>1</v>
      </c>
      <c r="E113" s="1" t="s">
        <v>11</v>
      </c>
      <c r="F113" s="1" t="s">
        <v>128</v>
      </c>
      <c r="G113" s="1">
        <v>946.56655999999998</v>
      </c>
      <c r="H113" s="1">
        <v>9939.1037450000003</v>
      </c>
      <c r="I113" s="1">
        <v>150.63211000000001</v>
      </c>
      <c r="J113" s="1">
        <v>9408023.2364690006</v>
      </c>
      <c r="K113" s="1">
        <v>21771.340608999999</v>
      </c>
    </row>
    <row r="114" spans="2:11" ht="32.35" customHeight="1" x14ac:dyDescent="0.45">
      <c r="B114" s="1" t="s">
        <v>130</v>
      </c>
      <c r="C114" s="1">
        <v>112</v>
      </c>
      <c r="D114" s="1">
        <v>0</v>
      </c>
      <c r="E114" s="1" t="s">
        <v>11</v>
      </c>
      <c r="F114" s="1" t="s">
        <v>131</v>
      </c>
      <c r="G114" s="1">
        <v>230.42771400000001</v>
      </c>
      <c r="H114" s="1">
        <v>2117.6637569999998</v>
      </c>
      <c r="I114" s="1">
        <v>149.65675100000001</v>
      </c>
      <c r="J114" s="1">
        <v>487968.41783699999</v>
      </c>
      <c r="K114" s="1">
        <v>4696.1829399999997</v>
      </c>
    </row>
    <row r="115" spans="2:11" ht="32.35" customHeight="1" x14ac:dyDescent="0.45">
      <c r="B115" s="1" t="s">
        <v>132</v>
      </c>
      <c r="C115" s="1">
        <v>113</v>
      </c>
      <c r="D115" s="1">
        <v>1</v>
      </c>
      <c r="E115" s="1" t="s">
        <v>11</v>
      </c>
      <c r="F115" s="1" t="s">
        <v>131</v>
      </c>
      <c r="G115" s="1">
        <v>293.18829199999999</v>
      </c>
      <c r="H115" s="1">
        <v>1868.370146</v>
      </c>
      <c r="I115" s="1">
        <v>134.77706000000001</v>
      </c>
      <c r="J115" s="1">
        <v>547784.25248400006</v>
      </c>
      <c r="K115" s="1">
        <v>4323.1168770000004</v>
      </c>
    </row>
    <row r="116" spans="2:11" ht="32.35" customHeight="1" x14ac:dyDescent="0.45">
      <c r="B116" s="1" t="s">
        <v>133</v>
      </c>
      <c r="C116" s="1">
        <v>114</v>
      </c>
      <c r="D116" s="1">
        <v>2</v>
      </c>
      <c r="E116" s="1" t="s">
        <v>22</v>
      </c>
      <c r="F116" s="1" t="s">
        <v>131</v>
      </c>
      <c r="G116" s="1">
        <v>420.78785199999999</v>
      </c>
      <c r="H116" s="1">
        <v>475.91997900000001</v>
      </c>
      <c r="I116" s="1">
        <v>101.309932</v>
      </c>
      <c r="J116" s="1">
        <v>200261.345764</v>
      </c>
      <c r="K116" s="1">
        <v>1793.4156620000001</v>
      </c>
    </row>
    <row r="117" spans="2:11" ht="32.35" customHeight="1" x14ac:dyDescent="0.45">
      <c r="B117" s="1" t="s">
        <v>134</v>
      </c>
      <c r="C117" s="1">
        <v>115</v>
      </c>
      <c r="D117" s="1">
        <v>0</v>
      </c>
      <c r="E117" s="1" t="s">
        <v>28</v>
      </c>
      <c r="F117" s="1" t="s">
        <v>135</v>
      </c>
      <c r="G117" s="1">
        <v>233.404901</v>
      </c>
      <c r="H117" s="1">
        <v>237.53596099999999</v>
      </c>
      <c r="I117" s="1">
        <v>2.2025980000000001</v>
      </c>
      <c r="J117" s="1">
        <v>55442.057503999997</v>
      </c>
      <c r="K117" s="1">
        <v>941.88172399999996</v>
      </c>
    </row>
    <row r="118" spans="2:11" ht="32.35" customHeight="1" x14ac:dyDescent="0.45">
      <c r="B118" s="1" t="s">
        <v>136</v>
      </c>
      <c r="C118" s="1">
        <v>116</v>
      </c>
      <c r="D118" s="1">
        <v>1</v>
      </c>
      <c r="E118" s="1" t="s">
        <v>28</v>
      </c>
      <c r="F118" s="1" t="s">
        <v>135</v>
      </c>
      <c r="G118" s="1">
        <v>327.826886</v>
      </c>
      <c r="H118" s="1">
        <v>401.02515899999997</v>
      </c>
      <c r="I118" s="1">
        <v>154.358994</v>
      </c>
      <c r="J118" s="1">
        <v>131466.82928500001</v>
      </c>
      <c r="K118" s="1">
        <v>1457.7040910000001</v>
      </c>
    </row>
    <row r="119" spans="2:11" ht="32.35" customHeight="1" x14ac:dyDescent="0.45">
      <c r="B119" s="1" t="s">
        <v>137</v>
      </c>
      <c r="C119" s="1">
        <v>117</v>
      </c>
      <c r="D119" s="1">
        <v>2</v>
      </c>
      <c r="E119" s="1" t="s">
        <v>28</v>
      </c>
      <c r="F119" s="1" t="s">
        <v>135</v>
      </c>
      <c r="G119" s="1">
        <v>115.86804600000001</v>
      </c>
      <c r="H119" s="1">
        <v>120.57763799999999</v>
      </c>
      <c r="I119" s="1">
        <v>83.290163000000007</v>
      </c>
      <c r="J119" s="1">
        <v>13971.095323</v>
      </c>
      <c r="K119" s="1">
        <v>472.891368</v>
      </c>
    </row>
    <row r="120" spans="2:11" ht="32.35" customHeight="1" x14ac:dyDescent="0.45">
      <c r="B120" s="1" t="s">
        <v>138</v>
      </c>
      <c r="C120" s="1">
        <v>118</v>
      </c>
      <c r="D120" s="1">
        <v>4</v>
      </c>
      <c r="E120" s="1" t="s">
        <v>28</v>
      </c>
      <c r="F120" s="1" t="s">
        <v>135</v>
      </c>
      <c r="G120" s="1">
        <v>448.78793000000002</v>
      </c>
      <c r="H120" s="1">
        <v>565.03172900000004</v>
      </c>
      <c r="I120" s="1">
        <v>154.58399399999999</v>
      </c>
      <c r="J120" s="1">
        <v>253579.42000099999</v>
      </c>
      <c r="K120" s="1">
        <v>2027.639318</v>
      </c>
    </row>
    <row r="121" spans="2:11" ht="32.35" customHeight="1" x14ac:dyDescent="0.45">
      <c r="B121" s="1" t="s">
        <v>139</v>
      </c>
      <c r="C121" s="1">
        <v>119</v>
      </c>
      <c r="D121" s="1">
        <v>5</v>
      </c>
      <c r="E121" s="1" t="s">
        <v>28</v>
      </c>
      <c r="F121" s="1" t="s">
        <v>135</v>
      </c>
      <c r="G121" s="1">
        <v>421.75519800000001</v>
      </c>
      <c r="H121" s="1">
        <v>519.76074700000004</v>
      </c>
      <c r="I121" s="1">
        <v>117.64597500000001</v>
      </c>
      <c r="J121" s="1">
        <v>219211.796638</v>
      </c>
      <c r="K121" s="1">
        <v>1883.03189</v>
      </c>
    </row>
    <row r="122" spans="2:11" ht="32.35" customHeight="1" x14ac:dyDescent="0.45">
      <c r="B122" s="1" t="s">
        <v>140</v>
      </c>
      <c r="C122" s="1">
        <v>120</v>
      </c>
      <c r="D122" s="1">
        <v>6</v>
      </c>
      <c r="E122" s="1" t="s">
        <v>28</v>
      </c>
      <c r="F122" s="1" t="s">
        <v>135</v>
      </c>
      <c r="G122" s="1">
        <v>314.19270799999998</v>
      </c>
      <c r="H122" s="1">
        <v>347.265625</v>
      </c>
      <c r="I122" s="1">
        <v>90</v>
      </c>
      <c r="J122" s="1">
        <v>109108.327229</v>
      </c>
      <c r="K122" s="1">
        <v>1322.916667</v>
      </c>
    </row>
    <row r="123" spans="2:11" ht="32.35" customHeight="1" x14ac:dyDescent="0.45">
      <c r="B123" s="1" t="s">
        <v>141</v>
      </c>
      <c r="C123" s="1">
        <v>121</v>
      </c>
      <c r="D123" s="1">
        <v>7</v>
      </c>
      <c r="E123" s="1" t="s">
        <v>28</v>
      </c>
      <c r="F123" s="1" t="s">
        <v>135</v>
      </c>
      <c r="G123" s="1">
        <v>232.87513799999999</v>
      </c>
      <c r="H123" s="1">
        <v>263.99537700000002</v>
      </c>
      <c r="I123" s="1">
        <v>166.60750200000001</v>
      </c>
      <c r="J123" s="1">
        <v>61477.959977999999</v>
      </c>
      <c r="K123" s="1">
        <v>993.74103100000002</v>
      </c>
    </row>
    <row r="124" spans="2:11" ht="32.35" customHeight="1" x14ac:dyDescent="0.45">
      <c r="B124" s="1" t="s">
        <v>142</v>
      </c>
      <c r="C124" s="1">
        <v>122</v>
      </c>
      <c r="D124" s="1">
        <v>8</v>
      </c>
      <c r="E124" s="1" t="s">
        <v>14</v>
      </c>
      <c r="F124" s="1" t="s">
        <v>135</v>
      </c>
      <c r="G124" s="1">
        <v>443.719739</v>
      </c>
      <c r="H124" s="1">
        <v>449.26623599999999</v>
      </c>
      <c r="I124" s="1">
        <v>116.565051</v>
      </c>
      <c r="J124" s="1">
        <v>199348.29712</v>
      </c>
      <c r="K124" s="1">
        <v>1785.971951</v>
      </c>
    </row>
    <row r="125" spans="2:11" ht="32.35" customHeight="1" x14ac:dyDescent="0.45">
      <c r="B125" s="1" t="s">
        <v>143</v>
      </c>
      <c r="C125" s="1">
        <v>123</v>
      </c>
      <c r="D125" s="1">
        <v>9</v>
      </c>
      <c r="E125" s="1" t="s">
        <v>22</v>
      </c>
      <c r="F125" s="1" t="s">
        <v>135</v>
      </c>
      <c r="G125" s="1">
        <v>312.182368</v>
      </c>
      <c r="H125" s="1">
        <v>322.89205500000003</v>
      </c>
      <c r="I125" s="1">
        <v>83.047043000000002</v>
      </c>
      <c r="J125" s="1">
        <v>100801.206481</v>
      </c>
      <c r="K125" s="1">
        <v>1270.1488469999999</v>
      </c>
    </row>
    <row r="126" spans="2:11" ht="32.35" customHeight="1" x14ac:dyDescent="0.45">
      <c r="B126" s="1" t="s">
        <v>144</v>
      </c>
      <c r="C126" s="1">
        <v>124</v>
      </c>
      <c r="D126" s="1">
        <v>10</v>
      </c>
      <c r="E126" s="1" t="s">
        <v>22</v>
      </c>
      <c r="F126" s="1" t="s">
        <v>135</v>
      </c>
      <c r="G126" s="1">
        <v>287.64708300000001</v>
      </c>
      <c r="H126" s="1">
        <v>343.19652000000002</v>
      </c>
      <c r="I126" s="1">
        <v>176.185925</v>
      </c>
      <c r="J126" s="1">
        <v>98719.477920999998</v>
      </c>
      <c r="K126" s="1">
        <v>1261.6872060000001</v>
      </c>
    </row>
    <row r="127" spans="2:11" ht="32.35" customHeight="1" x14ac:dyDescent="0.45">
      <c r="B127" s="1" t="s">
        <v>145</v>
      </c>
      <c r="C127" s="1">
        <v>125</v>
      </c>
      <c r="D127" s="1">
        <v>11</v>
      </c>
      <c r="E127" s="1" t="s">
        <v>14</v>
      </c>
      <c r="F127" s="1" t="s">
        <v>135</v>
      </c>
      <c r="G127" s="1">
        <v>649.05598999999995</v>
      </c>
      <c r="H127" s="1">
        <v>1728.059896</v>
      </c>
      <c r="I127" s="1">
        <v>0</v>
      </c>
      <c r="J127" s="1">
        <v>1121607.6257529999</v>
      </c>
      <c r="K127" s="1">
        <v>4754.2317709999998</v>
      </c>
    </row>
    <row r="128" spans="2:11" ht="32.35" customHeight="1" x14ac:dyDescent="0.45">
      <c r="B128" s="1" t="s">
        <v>146</v>
      </c>
      <c r="C128" s="1">
        <v>126</v>
      </c>
      <c r="D128" s="1">
        <v>12</v>
      </c>
      <c r="E128" s="1" t="s">
        <v>14</v>
      </c>
      <c r="F128" s="1" t="s">
        <v>135</v>
      </c>
      <c r="G128" s="1">
        <v>437.44802800000002</v>
      </c>
      <c r="H128" s="1">
        <v>648.63496899999996</v>
      </c>
      <c r="I128" s="1">
        <v>87.936179999999993</v>
      </c>
      <c r="J128" s="1">
        <v>283744.08821700001</v>
      </c>
      <c r="K128" s="1">
        <v>2172.165994</v>
      </c>
    </row>
    <row r="129" spans="2:11" ht="32.35" customHeight="1" x14ac:dyDescent="0.45">
      <c r="B129" s="1" t="s">
        <v>147</v>
      </c>
      <c r="C129" s="1">
        <v>127</v>
      </c>
      <c r="D129" s="1">
        <v>0</v>
      </c>
      <c r="E129" s="1" t="s">
        <v>11</v>
      </c>
      <c r="F129" s="1" t="s">
        <v>148</v>
      </c>
      <c r="G129" s="1">
        <v>482.54747099999997</v>
      </c>
      <c r="H129" s="1">
        <v>2967.8359110000001</v>
      </c>
      <c r="I129" s="1">
        <v>174.07541800000001</v>
      </c>
      <c r="J129" s="1">
        <v>1432121.7128930001</v>
      </c>
      <c r="K129" s="1">
        <v>6900.7667629999996</v>
      </c>
    </row>
    <row r="130" spans="2:11" ht="32.35" customHeight="1" x14ac:dyDescent="0.45">
      <c r="B130" s="1" t="s">
        <v>149</v>
      </c>
      <c r="C130" s="1">
        <v>128</v>
      </c>
      <c r="D130" s="1">
        <v>1</v>
      </c>
      <c r="E130" s="1" t="s">
        <v>11</v>
      </c>
      <c r="F130" s="1" t="s">
        <v>148</v>
      </c>
      <c r="G130" s="1">
        <v>308.40750600000001</v>
      </c>
      <c r="H130" s="1">
        <v>903.443534</v>
      </c>
      <c r="I130" s="1">
        <v>1.9978800000000001</v>
      </c>
      <c r="J130" s="1">
        <v>278628.76750399999</v>
      </c>
      <c r="K130" s="1">
        <v>2423.7020809999999</v>
      </c>
    </row>
    <row r="131" spans="2:11" ht="32.35" customHeight="1" x14ac:dyDescent="0.45">
      <c r="B131" s="1" t="s">
        <v>150</v>
      </c>
      <c r="C131" s="1">
        <v>129</v>
      </c>
      <c r="D131" s="1">
        <v>2</v>
      </c>
      <c r="E131" s="1" t="s">
        <v>14</v>
      </c>
      <c r="F131" s="1" t="s">
        <v>148</v>
      </c>
      <c r="G131" s="1">
        <v>197.86022600000001</v>
      </c>
      <c r="H131" s="1">
        <v>285.20392900000002</v>
      </c>
      <c r="I131" s="1">
        <v>165.96375699999999</v>
      </c>
      <c r="J131" s="1">
        <v>56430.51395</v>
      </c>
      <c r="K131" s="1">
        <v>966.12831100000005</v>
      </c>
    </row>
    <row r="132" spans="2:11" ht="32.35" customHeight="1" x14ac:dyDescent="0.45">
      <c r="B132" s="1" t="s">
        <v>151</v>
      </c>
      <c r="C132" s="1">
        <v>130</v>
      </c>
      <c r="D132" s="1">
        <v>3</v>
      </c>
      <c r="E132" s="1" t="s">
        <v>14</v>
      </c>
      <c r="F132" s="1" t="s">
        <v>148</v>
      </c>
      <c r="G132" s="1">
        <v>159.70043000000001</v>
      </c>
      <c r="H132" s="1">
        <v>198.968493</v>
      </c>
      <c r="I132" s="1">
        <v>165.37912600000001</v>
      </c>
      <c r="J132" s="1">
        <v>31775.353802000001</v>
      </c>
      <c r="K132" s="1">
        <v>717.33784500000002</v>
      </c>
    </row>
    <row r="133" spans="2:11" ht="32.35" customHeight="1" x14ac:dyDescent="0.45">
      <c r="B133" s="1" t="s">
        <v>152</v>
      </c>
      <c r="C133" s="1">
        <v>131</v>
      </c>
      <c r="D133" s="1">
        <v>4</v>
      </c>
      <c r="E133" s="1" t="s">
        <v>22</v>
      </c>
      <c r="F133" s="1" t="s">
        <v>148</v>
      </c>
      <c r="G133" s="1">
        <v>141.90449799999999</v>
      </c>
      <c r="H133" s="1">
        <v>172.27520200000001</v>
      </c>
      <c r="I133" s="1">
        <v>175.91438299999999</v>
      </c>
      <c r="J133" s="1">
        <v>24446.62599</v>
      </c>
      <c r="K133" s="1">
        <v>628.35939900000005</v>
      </c>
    </row>
    <row r="134" spans="2:11" ht="32.35" customHeight="1" x14ac:dyDescent="0.45">
      <c r="B134" s="1" t="s">
        <v>153</v>
      </c>
      <c r="C134" s="1">
        <v>132</v>
      </c>
      <c r="D134" s="1">
        <v>5</v>
      </c>
      <c r="E134" s="1" t="s">
        <v>28</v>
      </c>
      <c r="F134" s="1" t="s">
        <v>148</v>
      </c>
      <c r="G134" s="1">
        <v>67.063190000000006</v>
      </c>
      <c r="H134" s="1">
        <v>95.193038000000001</v>
      </c>
      <c r="I134" s="1">
        <v>160.55996500000001</v>
      </c>
      <c r="J134" s="1">
        <v>6383.9487499999996</v>
      </c>
      <c r="K134" s="1">
        <v>324.51245499999999</v>
      </c>
    </row>
    <row r="135" spans="2:11" ht="32.35" customHeight="1" x14ac:dyDescent="0.45">
      <c r="B135" s="1" t="s">
        <v>154</v>
      </c>
      <c r="C135" s="1">
        <v>133</v>
      </c>
      <c r="D135" s="1">
        <v>6</v>
      </c>
      <c r="E135" s="1" t="s">
        <v>28</v>
      </c>
      <c r="F135" s="1" t="s">
        <v>148</v>
      </c>
      <c r="G135" s="1">
        <v>132.29166699999999</v>
      </c>
      <c r="H135" s="1">
        <v>139.64120399999999</v>
      </c>
      <c r="I135" s="1">
        <v>90</v>
      </c>
      <c r="J135" s="1">
        <v>18473.367573</v>
      </c>
      <c r="K135" s="1">
        <v>543.86574099999996</v>
      </c>
    </row>
    <row r="136" spans="2:11" ht="32.35" customHeight="1" x14ac:dyDescent="0.45">
      <c r="B136" s="1" t="s">
        <v>155</v>
      </c>
      <c r="C136" s="1">
        <v>134</v>
      </c>
      <c r="D136" s="1">
        <v>7</v>
      </c>
      <c r="E136" s="1" t="s">
        <v>28</v>
      </c>
      <c r="F136" s="1" t="s">
        <v>148</v>
      </c>
      <c r="G136" s="1">
        <v>132.29166699999999</v>
      </c>
      <c r="H136" s="1">
        <v>132.29166699999999</v>
      </c>
      <c r="I136" s="1">
        <v>0</v>
      </c>
      <c r="J136" s="1">
        <v>17501.085069000001</v>
      </c>
      <c r="K136" s="1">
        <v>529.16666699999996</v>
      </c>
    </row>
    <row r="137" spans="2:11" ht="32.35" customHeight="1" x14ac:dyDescent="0.45">
      <c r="B137" s="1" t="s">
        <v>156</v>
      </c>
      <c r="C137" s="1">
        <v>135</v>
      </c>
      <c r="D137" s="1">
        <v>8</v>
      </c>
      <c r="E137" s="1" t="s">
        <v>14</v>
      </c>
      <c r="F137" s="1" t="s">
        <v>148</v>
      </c>
      <c r="G137" s="1">
        <v>220.57969399999999</v>
      </c>
      <c r="H137" s="1">
        <v>240.74596</v>
      </c>
      <c r="I137" s="1">
        <v>150.94539599999999</v>
      </c>
      <c r="J137" s="1">
        <v>53103.670230000003</v>
      </c>
      <c r="K137" s="1">
        <v>922.65130799999997</v>
      </c>
    </row>
    <row r="138" spans="2:11" ht="32.35" customHeight="1" x14ac:dyDescent="0.45">
      <c r="B138" s="1" t="s">
        <v>157</v>
      </c>
      <c r="C138" s="1">
        <v>136</v>
      </c>
      <c r="D138" s="1">
        <v>9</v>
      </c>
      <c r="E138" s="1" t="s">
        <v>14</v>
      </c>
      <c r="F138" s="1" t="s">
        <v>148</v>
      </c>
      <c r="G138" s="1">
        <v>240.30854600000001</v>
      </c>
      <c r="H138" s="1">
        <v>432.17165599999998</v>
      </c>
      <c r="I138" s="1">
        <v>44.118595999999997</v>
      </c>
      <c r="J138" s="1">
        <v>103854.542007</v>
      </c>
      <c r="K138" s="1">
        <v>1344.960403</v>
      </c>
    </row>
    <row r="139" spans="2:11" ht="32.35" customHeight="1" x14ac:dyDescent="0.45">
      <c r="B139" s="1" t="s">
        <v>158</v>
      </c>
      <c r="C139" s="1">
        <v>137</v>
      </c>
      <c r="D139" s="1">
        <v>10</v>
      </c>
      <c r="E139" s="1" t="s">
        <v>22</v>
      </c>
      <c r="F139" s="1" t="s">
        <v>148</v>
      </c>
      <c r="G139" s="1">
        <v>200.82386399999999</v>
      </c>
      <c r="H139" s="1">
        <v>219.76951199999999</v>
      </c>
      <c r="I139" s="1">
        <v>37.092837000000003</v>
      </c>
      <c r="J139" s="1">
        <v>44134.962649000001</v>
      </c>
      <c r="K139" s="1">
        <v>841.18675299999995</v>
      </c>
    </row>
    <row r="140" spans="2:11" ht="32.35" customHeight="1" x14ac:dyDescent="0.45">
      <c r="B140" s="1" t="s">
        <v>159</v>
      </c>
      <c r="C140" s="1">
        <v>138</v>
      </c>
      <c r="D140" s="1">
        <v>11</v>
      </c>
      <c r="E140" s="1" t="s">
        <v>14</v>
      </c>
      <c r="F140" s="1" t="s">
        <v>148</v>
      </c>
      <c r="G140" s="1">
        <v>166.56088500000001</v>
      </c>
      <c r="H140" s="1">
        <v>229.49543399999999</v>
      </c>
      <c r="I140" s="1">
        <v>28.739795000000001</v>
      </c>
      <c r="J140" s="1">
        <v>38224.962544000002</v>
      </c>
      <c r="K140" s="1">
        <v>792.11263799999995</v>
      </c>
    </row>
    <row r="141" spans="2:11" ht="32.35" customHeight="1" x14ac:dyDescent="0.45">
      <c r="B141" s="1" t="s">
        <v>160</v>
      </c>
      <c r="C141" s="1">
        <v>139</v>
      </c>
      <c r="D141" s="1">
        <v>12</v>
      </c>
      <c r="E141" s="1" t="s">
        <v>14</v>
      </c>
      <c r="F141" s="1" t="s">
        <v>148</v>
      </c>
      <c r="G141" s="1">
        <v>174.64884000000001</v>
      </c>
      <c r="H141" s="1">
        <v>285.84058499999998</v>
      </c>
      <c r="I141" s="1">
        <v>48.576334000000003</v>
      </c>
      <c r="J141" s="1">
        <v>49921.726672999997</v>
      </c>
      <c r="K141" s="1">
        <v>920.97884999999997</v>
      </c>
    </row>
    <row r="142" spans="2:11" ht="32.35" customHeight="1" x14ac:dyDescent="0.45">
      <c r="B142" s="1" t="s">
        <v>161</v>
      </c>
      <c r="C142" s="1">
        <v>140</v>
      </c>
      <c r="D142" s="1">
        <v>13</v>
      </c>
      <c r="E142" s="1" t="s">
        <v>14</v>
      </c>
      <c r="F142" s="1" t="s">
        <v>148</v>
      </c>
      <c r="G142" s="1">
        <v>259.56449400000002</v>
      </c>
      <c r="H142" s="1">
        <v>263.90540900000002</v>
      </c>
      <c r="I142" s="1">
        <v>91.735704999999996</v>
      </c>
      <c r="J142" s="1">
        <v>68500.473960000003</v>
      </c>
      <c r="K142" s="1">
        <v>1046.9398060000001</v>
      </c>
    </row>
    <row r="143" spans="2:11" ht="32.35" customHeight="1" x14ac:dyDescent="0.45">
      <c r="B143" s="1" t="s">
        <v>162</v>
      </c>
      <c r="C143" s="1">
        <v>141</v>
      </c>
      <c r="D143" s="1">
        <v>14</v>
      </c>
      <c r="E143" s="1" t="s">
        <v>14</v>
      </c>
      <c r="F143" s="1" t="s">
        <v>148</v>
      </c>
      <c r="G143" s="1">
        <v>258.33102400000001</v>
      </c>
      <c r="H143" s="1">
        <v>274.68857300000002</v>
      </c>
      <c r="I143" s="1">
        <v>54.605204000000001</v>
      </c>
      <c r="J143" s="1">
        <v>70960.580270000006</v>
      </c>
      <c r="K143" s="1">
        <v>1066.0391930000001</v>
      </c>
    </row>
    <row r="144" spans="2:11" ht="32.35" customHeight="1" x14ac:dyDescent="0.45">
      <c r="B144" s="1" t="s">
        <v>163</v>
      </c>
      <c r="C144" s="1">
        <v>142</v>
      </c>
      <c r="D144" s="1">
        <v>15</v>
      </c>
      <c r="E144" s="1" t="s">
        <v>11</v>
      </c>
      <c r="F144" s="1" t="s">
        <v>148</v>
      </c>
      <c r="G144" s="1">
        <v>179.05047400000001</v>
      </c>
      <c r="H144" s="1">
        <v>760.76770699999997</v>
      </c>
      <c r="I144" s="1">
        <v>178.63607200000001</v>
      </c>
      <c r="J144" s="1">
        <v>136215.818597</v>
      </c>
      <c r="K144" s="1">
        <v>1879.6363630000001</v>
      </c>
    </row>
    <row r="145" spans="2:11" ht="32.35" customHeight="1" x14ac:dyDescent="0.45">
      <c r="B145" s="1" t="s">
        <v>164</v>
      </c>
      <c r="C145" s="1">
        <v>143</v>
      </c>
      <c r="D145" s="1">
        <v>16</v>
      </c>
      <c r="E145" s="1" t="s">
        <v>11</v>
      </c>
      <c r="F145" s="1" t="s">
        <v>148</v>
      </c>
      <c r="G145" s="1">
        <v>247.61474200000001</v>
      </c>
      <c r="H145" s="1">
        <v>877.71149300000002</v>
      </c>
      <c r="I145" s="1">
        <v>169.22419500000001</v>
      </c>
      <c r="J145" s="1">
        <v>217334.304706</v>
      </c>
      <c r="K145" s="1">
        <v>2250.6524690000001</v>
      </c>
    </row>
    <row r="146" spans="2:11" ht="32.35" customHeight="1" x14ac:dyDescent="0.45">
      <c r="B146" s="1" t="s">
        <v>165</v>
      </c>
      <c r="C146" s="1">
        <v>144</v>
      </c>
      <c r="D146" s="1">
        <v>17</v>
      </c>
      <c r="E146" s="1" t="s">
        <v>28</v>
      </c>
      <c r="F146" s="1" t="s">
        <v>148</v>
      </c>
      <c r="G146" s="1">
        <v>98.805454999999995</v>
      </c>
      <c r="H146" s="1">
        <v>119.090278</v>
      </c>
      <c r="I146" s="1">
        <v>178.781125</v>
      </c>
      <c r="J146" s="1">
        <v>11766.769147999999</v>
      </c>
      <c r="K146" s="1">
        <v>435.79146700000001</v>
      </c>
    </row>
    <row r="147" spans="2:11" ht="32.35" customHeight="1" x14ac:dyDescent="0.45">
      <c r="B147" s="1" t="s">
        <v>166</v>
      </c>
      <c r="C147" s="1">
        <v>145</v>
      </c>
      <c r="D147" s="1">
        <v>0</v>
      </c>
      <c r="E147" s="1" t="s">
        <v>28</v>
      </c>
      <c r="F147" s="1" t="s">
        <v>167</v>
      </c>
      <c r="G147" s="1">
        <v>97.650175000000004</v>
      </c>
      <c r="H147" s="1">
        <v>108.19456</v>
      </c>
      <c r="I147" s="1">
        <v>93.576334000000003</v>
      </c>
      <c r="J147" s="1">
        <v>10565.217661999999</v>
      </c>
      <c r="K147" s="1">
        <v>411.68946899999997</v>
      </c>
    </row>
    <row r="148" spans="2:11" ht="32.35" customHeight="1" x14ac:dyDescent="0.45">
      <c r="B148" s="1" t="s">
        <v>168</v>
      </c>
      <c r="C148" s="1">
        <v>146</v>
      </c>
      <c r="D148" s="1">
        <v>1</v>
      </c>
      <c r="E148" s="1" t="s">
        <v>22</v>
      </c>
      <c r="F148" s="1" t="s">
        <v>167</v>
      </c>
      <c r="G148" s="1">
        <v>206.21705</v>
      </c>
      <c r="H148" s="1">
        <v>246.10333299999999</v>
      </c>
      <c r="I148" s="1">
        <v>125.837653</v>
      </c>
      <c r="J148" s="1">
        <v>50750.703394999997</v>
      </c>
      <c r="K148" s="1">
        <v>904.64076699999998</v>
      </c>
    </row>
    <row r="149" spans="2:11" ht="32.35" customHeight="1" x14ac:dyDescent="0.45">
      <c r="B149" s="1" t="s">
        <v>169</v>
      </c>
      <c r="C149" s="1">
        <v>147</v>
      </c>
      <c r="D149" s="1">
        <v>2</v>
      </c>
      <c r="E149" s="1" t="s">
        <v>22</v>
      </c>
      <c r="F149" s="1" t="s">
        <v>167</v>
      </c>
      <c r="G149" s="1">
        <v>226.87833699999999</v>
      </c>
      <c r="H149" s="1">
        <v>280.19474600000001</v>
      </c>
      <c r="I149" s="1">
        <v>95.906141000000005</v>
      </c>
      <c r="J149" s="1">
        <v>63570.117826000002</v>
      </c>
      <c r="K149" s="1">
        <v>1014.146165</v>
      </c>
    </row>
    <row r="150" spans="2:11" ht="32.35" customHeight="1" x14ac:dyDescent="0.45">
      <c r="B150" s="1" t="s">
        <v>170</v>
      </c>
      <c r="C150" s="1">
        <v>148</v>
      </c>
      <c r="D150" s="1">
        <v>3</v>
      </c>
      <c r="E150" s="1" t="s">
        <v>28</v>
      </c>
      <c r="F150" s="1" t="s">
        <v>167</v>
      </c>
      <c r="G150" s="1">
        <v>58.55312</v>
      </c>
      <c r="H150" s="1">
        <v>86.315375000000003</v>
      </c>
      <c r="I150" s="1">
        <v>74.054603999999998</v>
      </c>
      <c r="J150" s="1">
        <v>5054.034525</v>
      </c>
      <c r="K150" s="1">
        <v>289.73698999999999</v>
      </c>
    </row>
    <row r="151" spans="2:11" ht="32.35" customHeight="1" x14ac:dyDescent="0.45">
      <c r="B151" s="1" t="s">
        <v>171</v>
      </c>
      <c r="C151" s="1">
        <v>149</v>
      </c>
      <c r="D151" s="1">
        <v>4</v>
      </c>
      <c r="E151" s="1" t="s">
        <v>28</v>
      </c>
      <c r="F151" s="1" t="s">
        <v>167</v>
      </c>
      <c r="G151" s="1">
        <v>119.504628</v>
      </c>
      <c r="H151" s="1">
        <v>150.855794</v>
      </c>
      <c r="I151" s="1">
        <v>118.17859</v>
      </c>
      <c r="J151" s="1">
        <v>18027.965611</v>
      </c>
      <c r="K151" s="1">
        <v>540.72084500000005</v>
      </c>
    </row>
    <row r="152" spans="2:11" ht="32.35" customHeight="1" x14ac:dyDescent="0.45">
      <c r="B152" s="1" t="s">
        <v>172</v>
      </c>
      <c r="C152" s="1">
        <v>150</v>
      </c>
      <c r="D152" s="1">
        <v>5</v>
      </c>
      <c r="E152" s="1" t="s">
        <v>22</v>
      </c>
      <c r="F152" s="1" t="s">
        <v>167</v>
      </c>
      <c r="G152" s="1">
        <v>212.45867699999999</v>
      </c>
      <c r="H152" s="1">
        <v>226.80623800000001</v>
      </c>
      <c r="I152" s="1">
        <v>88.210088999999996</v>
      </c>
      <c r="J152" s="1">
        <v>48186.953269999998</v>
      </c>
      <c r="K152" s="1">
        <v>878.52982999999995</v>
      </c>
    </row>
    <row r="153" spans="2:11" ht="32.35" customHeight="1" x14ac:dyDescent="0.45">
      <c r="B153" s="1" t="s">
        <v>173</v>
      </c>
      <c r="C153" s="1">
        <v>151</v>
      </c>
      <c r="D153" s="1">
        <v>6</v>
      </c>
      <c r="E153" s="1" t="s">
        <v>22</v>
      </c>
      <c r="F153" s="1" t="s">
        <v>167</v>
      </c>
      <c r="G153" s="1">
        <v>316.03009300000002</v>
      </c>
      <c r="H153" s="1">
        <v>345.42824100000001</v>
      </c>
      <c r="I153" s="1">
        <v>90</v>
      </c>
      <c r="J153" s="1">
        <v>109165.71890599999</v>
      </c>
      <c r="K153" s="1">
        <v>1322.916667</v>
      </c>
    </row>
    <row r="154" spans="2:11" ht="32.35" customHeight="1" x14ac:dyDescent="0.45">
      <c r="B154" s="1" t="s">
        <v>174</v>
      </c>
      <c r="C154" s="1">
        <v>152</v>
      </c>
      <c r="D154" s="1">
        <v>7</v>
      </c>
      <c r="E154" s="1" t="s">
        <v>22</v>
      </c>
      <c r="F154" s="1" t="s">
        <v>167</v>
      </c>
      <c r="G154" s="1">
        <v>184.59857</v>
      </c>
      <c r="H154" s="1">
        <v>235.192252</v>
      </c>
      <c r="I154" s="1">
        <v>82.874983999999998</v>
      </c>
      <c r="J154" s="1">
        <v>43416.153344999999</v>
      </c>
      <c r="K154" s="1">
        <v>839.58164399999998</v>
      </c>
    </row>
    <row r="155" spans="2:11" ht="32.35" customHeight="1" x14ac:dyDescent="0.45">
      <c r="B155" s="1" t="s">
        <v>175</v>
      </c>
      <c r="C155" s="1">
        <v>153</v>
      </c>
      <c r="D155" s="1">
        <v>8</v>
      </c>
      <c r="E155" s="1" t="s">
        <v>22</v>
      </c>
      <c r="F155" s="1" t="s">
        <v>167</v>
      </c>
      <c r="G155" s="1">
        <v>108.780434</v>
      </c>
      <c r="H155" s="1">
        <v>120.76848099999999</v>
      </c>
      <c r="I155" s="1">
        <v>64.983107000000004</v>
      </c>
      <c r="J155" s="1">
        <v>13137.247781</v>
      </c>
      <c r="K155" s="1">
        <v>459.09782999999999</v>
      </c>
    </row>
    <row r="156" spans="2:11" ht="32.35" customHeight="1" x14ac:dyDescent="0.45">
      <c r="B156" s="1" t="s">
        <v>176</v>
      </c>
      <c r="C156" s="1">
        <v>154</v>
      </c>
      <c r="D156" s="1">
        <v>9</v>
      </c>
      <c r="E156" s="1" t="s">
        <v>22</v>
      </c>
      <c r="F156" s="1" t="s">
        <v>167</v>
      </c>
      <c r="G156" s="1">
        <v>213.136574</v>
      </c>
      <c r="H156" s="1">
        <v>227.83564799999999</v>
      </c>
      <c r="I156" s="1">
        <v>0</v>
      </c>
      <c r="J156" s="1">
        <v>48560.109497999998</v>
      </c>
      <c r="K156" s="1">
        <v>881.94444399999998</v>
      </c>
    </row>
    <row r="157" spans="2:11" ht="32.35" customHeight="1" x14ac:dyDescent="0.45">
      <c r="B157" s="1" t="s">
        <v>177</v>
      </c>
      <c r="C157" s="1">
        <v>155</v>
      </c>
      <c r="D157" s="1">
        <v>10</v>
      </c>
      <c r="E157" s="1" t="s">
        <v>22</v>
      </c>
      <c r="F157" s="1" t="s">
        <v>167</v>
      </c>
      <c r="G157" s="1">
        <v>189.499281</v>
      </c>
      <c r="H157" s="1">
        <v>214.52496300000001</v>
      </c>
      <c r="I157" s="1">
        <v>169.508523</v>
      </c>
      <c r="J157" s="1">
        <v>40652.326422999999</v>
      </c>
      <c r="K157" s="1">
        <v>808.04849000000002</v>
      </c>
    </row>
    <row r="158" spans="2:11" ht="32.35" customHeight="1" x14ac:dyDescent="0.45">
      <c r="B158" s="1" t="s">
        <v>178</v>
      </c>
      <c r="C158" s="1">
        <v>156</v>
      </c>
      <c r="D158" s="1">
        <v>11</v>
      </c>
      <c r="E158" s="1" t="s">
        <v>22</v>
      </c>
      <c r="F158" s="1" t="s">
        <v>167</v>
      </c>
      <c r="G158" s="1">
        <v>260.10974099999999</v>
      </c>
      <c r="H158" s="1">
        <v>262.34484099999997</v>
      </c>
      <c r="I158" s="1">
        <v>81.253838000000002</v>
      </c>
      <c r="J158" s="1">
        <v>68238.448571000001</v>
      </c>
      <c r="K158" s="1">
        <v>1044.909163</v>
      </c>
    </row>
    <row r="159" spans="2:11" ht="32.35" customHeight="1" x14ac:dyDescent="0.45">
      <c r="B159" s="1" t="s">
        <v>179</v>
      </c>
      <c r="C159" s="1">
        <v>157</v>
      </c>
      <c r="D159" s="1">
        <v>12</v>
      </c>
      <c r="E159" s="1" t="s">
        <v>11</v>
      </c>
      <c r="F159" s="1" t="s">
        <v>167</v>
      </c>
      <c r="G159" s="1">
        <v>404.77573000000001</v>
      </c>
      <c r="H159" s="1">
        <v>704.45742299999995</v>
      </c>
      <c r="I159" s="1">
        <v>0.52085599999999999</v>
      </c>
      <c r="J159" s="1">
        <v>285147.26747800002</v>
      </c>
      <c r="K159" s="1">
        <v>2218.4663049999999</v>
      </c>
    </row>
    <row r="160" spans="2:11" ht="32.35" customHeight="1" x14ac:dyDescent="0.45">
      <c r="B160" s="1" t="s">
        <v>180</v>
      </c>
      <c r="C160" s="1">
        <v>158</v>
      </c>
      <c r="D160" s="1">
        <v>13</v>
      </c>
      <c r="E160" s="1" t="s">
        <v>11</v>
      </c>
      <c r="F160" s="1" t="s">
        <v>167</v>
      </c>
      <c r="G160" s="1">
        <v>491.32510300000001</v>
      </c>
      <c r="H160" s="1">
        <v>888.11069899999995</v>
      </c>
      <c r="I160" s="1">
        <v>160.65567100000001</v>
      </c>
      <c r="J160" s="1">
        <v>436351.08124899998</v>
      </c>
      <c r="K160" s="1">
        <v>2758.8716060000002</v>
      </c>
    </row>
    <row r="161" spans="2:11" ht="32.35" customHeight="1" x14ac:dyDescent="0.45">
      <c r="B161" s="1" t="s">
        <v>181</v>
      </c>
      <c r="C161" s="1">
        <v>159</v>
      </c>
      <c r="D161" s="1">
        <v>14</v>
      </c>
      <c r="E161" s="1" t="s">
        <v>28</v>
      </c>
      <c r="F161" s="1" t="s">
        <v>167</v>
      </c>
      <c r="G161" s="1">
        <v>142.80765</v>
      </c>
      <c r="H161" s="1">
        <v>143.495327</v>
      </c>
      <c r="I161" s="1">
        <v>86.423665999999997</v>
      </c>
      <c r="J161" s="1">
        <v>20492.230434000001</v>
      </c>
      <c r="K161" s="1">
        <v>572.605954</v>
      </c>
    </row>
    <row r="162" spans="2:11" ht="32.35" customHeight="1" x14ac:dyDescent="0.45">
      <c r="B162" s="1" t="s">
        <v>182</v>
      </c>
      <c r="C162" s="1">
        <v>160</v>
      </c>
      <c r="D162" s="1">
        <v>15</v>
      </c>
      <c r="E162" s="1" t="s">
        <v>28</v>
      </c>
      <c r="F162" s="1" t="s">
        <v>167</v>
      </c>
      <c r="G162" s="1">
        <v>100.275766</v>
      </c>
      <c r="H162" s="1">
        <v>105.28955500000001</v>
      </c>
      <c r="I162" s="1">
        <v>82.874983999999998</v>
      </c>
      <c r="J162" s="1">
        <v>10557.990779</v>
      </c>
      <c r="K162" s="1">
        <v>411.13064200000002</v>
      </c>
    </row>
    <row r="163" spans="2:11" ht="32.35" customHeight="1" x14ac:dyDescent="0.45">
      <c r="B163" s="1" t="s">
        <v>183</v>
      </c>
      <c r="C163" s="1">
        <v>161</v>
      </c>
      <c r="D163" s="1">
        <v>0</v>
      </c>
      <c r="E163" s="1" t="s">
        <v>22</v>
      </c>
      <c r="F163" s="1" t="s">
        <v>184</v>
      </c>
      <c r="G163" s="1">
        <v>272.07506599999999</v>
      </c>
      <c r="H163" s="1">
        <v>306.40400099999999</v>
      </c>
      <c r="I163" s="1">
        <v>100.304846</v>
      </c>
      <c r="J163" s="1">
        <v>83364.888949999993</v>
      </c>
      <c r="K163" s="1">
        <v>1156.9581350000001</v>
      </c>
    </row>
    <row r="164" spans="2:11" ht="32.35" customHeight="1" x14ac:dyDescent="0.45">
      <c r="B164" s="1" t="s">
        <v>185</v>
      </c>
      <c r="C164" s="1">
        <v>162</v>
      </c>
      <c r="D164" s="1">
        <v>1</v>
      </c>
      <c r="E164" s="1" t="s">
        <v>22</v>
      </c>
      <c r="F164" s="1" t="s">
        <v>184</v>
      </c>
      <c r="G164" s="1">
        <v>223.84527399999999</v>
      </c>
      <c r="H164" s="1">
        <v>266.25976000000003</v>
      </c>
      <c r="I164" s="1">
        <v>170.90972300000001</v>
      </c>
      <c r="J164" s="1">
        <v>59600.988854000003</v>
      </c>
      <c r="K164" s="1">
        <v>980.21006699999998</v>
      </c>
    </row>
    <row r="165" spans="2:11" ht="32.35" customHeight="1" x14ac:dyDescent="0.45">
      <c r="B165" s="1" t="s">
        <v>186</v>
      </c>
      <c r="C165" s="1">
        <v>163</v>
      </c>
      <c r="D165" s="1">
        <v>2</v>
      </c>
      <c r="E165" s="1" t="s">
        <v>14</v>
      </c>
      <c r="F165" s="1" t="s">
        <v>184</v>
      </c>
      <c r="G165" s="1">
        <v>467.19108199999999</v>
      </c>
      <c r="H165" s="1">
        <v>569.82729800000004</v>
      </c>
      <c r="I165" s="1">
        <v>164.05460400000001</v>
      </c>
      <c r="J165" s="1">
        <v>266218.23217600002</v>
      </c>
      <c r="K165" s="1">
        <v>2074.0367609999998</v>
      </c>
    </row>
    <row r="166" spans="2:11" ht="32.35" customHeight="1" x14ac:dyDescent="0.45">
      <c r="B166" s="1" t="s">
        <v>187</v>
      </c>
      <c r="C166" s="1">
        <v>164</v>
      </c>
      <c r="D166" s="1">
        <v>3</v>
      </c>
      <c r="E166" s="1" t="s">
        <v>14</v>
      </c>
      <c r="F166" s="1" t="s">
        <v>184</v>
      </c>
      <c r="G166" s="1">
        <v>526.89153399999998</v>
      </c>
      <c r="H166" s="1">
        <v>632.13136699999995</v>
      </c>
      <c r="I166" s="1">
        <v>137.29060999999999</v>
      </c>
      <c r="J166" s="1">
        <v>333064.66577100003</v>
      </c>
      <c r="K166" s="1">
        <v>2318.0458020000001</v>
      </c>
    </row>
    <row r="167" spans="2:11" ht="32.35" customHeight="1" x14ac:dyDescent="0.45">
      <c r="B167" s="1" t="s">
        <v>188</v>
      </c>
      <c r="C167" s="1">
        <v>165</v>
      </c>
      <c r="D167" s="1">
        <v>4</v>
      </c>
      <c r="E167" s="1" t="s">
        <v>14</v>
      </c>
      <c r="F167" s="1" t="s">
        <v>184</v>
      </c>
      <c r="G167" s="1">
        <v>280.69122900000002</v>
      </c>
      <c r="H167" s="1">
        <v>381.54175099999998</v>
      </c>
      <c r="I167" s="1">
        <v>152.02052599999999</v>
      </c>
      <c r="J167" s="1">
        <v>107095.423027</v>
      </c>
      <c r="K167" s="1">
        <v>1324.46596</v>
      </c>
    </row>
    <row r="168" spans="2:11" ht="32.35" customHeight="1" x14ac:dyDescent="0.45">
      <c r="B168" s="1" t="s">
        <v>189</v>
      </c>
      <c r="C168" s="1">
        <v>166</v>
      </c>
      <c r="D168" s="1">
        <v>5</v>
      </c>
      <c r="E168" s="1" t="s">
        <v>22</v>
      </c>
      <c r="F168" s="1" t="s">
        <v>184</v>
      </c>
      <c r="G168" s="1">
        <v>191.90457799999999</v>
      </c>
      <c r="H168" s="1">
        <v>232.73534000000001</v>
      </c>
      <c r="I168" s="1">
        <v>90</v>
      </c>
      <c r="J168" s="1">
        <v>44662.977158000002</v>
      </c>
      <c r="K168" s="1">
        <v>849.27983500000005</v>
      </c>
    </row>
    <row r="169" spans="2:11" ht="32.35" customHeight="1" x14ac:dyDescent="0.45">
      <c r="B169" s="1" t="s">
        <v>190</v>
      </c>
      <c r="C169" s="1">
        <v>167</v>
      </c>
      <c r="D169" s="1">
        <v>6</v>
      </c>
      <c r="E169" s="1" t="s">
        <v>14</v>
      </c>
      <c r="F169" s="1" t="s">
        <v>184</v>
      </c>
      <c r="G169" s="1">
        <v>340.17336999999998</v>
      </c>
      <c r="H169" s="1">
        <v>474.39840400000003</v>
      </c>
      <c r="I169" s="1">
        <v>17.525568</v>
      </c>
      <c r="J169" s="1">
        <v>161377.70392500001</v>
      </c>
      <c r="K169" s="1">
        <v>1629.1435489999999</v>
      </c>
    </row>
    <row r="170" spans="2:11" ht="32.35" customHeight="1" x14ac:dyDescent="0.45">
      <c r="B170" s="1" t="s">
        <v>191</v>
      </c>
      <c r="C170" s="1">
        <v>168</v>
      </c>
      <c r="D170" s="1">
        <v>7</v>
      </c>
      <c r="E170" s="1" t="s">
        <v>22</v>
      </c>
      <c r="F170" s="1" t="s">
        <v>184</v>
      </c>
      <c r="G170" s="1">
        <v>286.46096399999999</v>
      </c>
      <c r="H170" s="1">
        <v>330.50403499999999</v>
      </c>
      <c r="I170" s="1">
        <v>161.02959200000001</v>
      </c>
      <c r="J170" s="1">
        <v>94676.504589999997</v>
      </c>
      <c r="K170" s="1">
        <v>1233.929999</v>
      </c>
    </row>
    <row r="171" spans="2:11" ht="32.35" customHeight="1" x14ac:dyDescent="0.45">
      <c r="B171" s="1" t="s">
        <v>192</v>
      </c>
      <c r="C171" s="1">
        <v>169</v>
      </c>
      <c r="D171" s="1">
        <v>8</v>
      </c>
      <c r="E171" s="1" t="s">
        <v>22</v>
      </c>
      <c r="F171" s="1" t="s">
        <v>184</v>
      </c>
      <c r="G171" s="1">
        <v>290.95919900000001</v>
      </c>
      <c r="H171" s="1">
        <v>312.31835699999999</v>
      </c>
      <c r="I171" s="1">
        <v>35.537678</v>
      </c>
      <c r="J171" s="1">
        <v>90871.898996999997</v>
      </c>
      <c r="K171" s="1">
        <v>1206.555112</v>
      </c>
    </row>
  </sheetData>
  <autoFilter ref="B2:K2" xr:uid="{1FAB8103-34E0-4324-9460-63D5F214F144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1882-1082-4742-84AD-3DDC9688FF46}">
  <dimension ref="B3:C19"/>
  <sheetViews>
    <sheetView workbookViewId="0">
      <selection activeCell="B3" sqref="B3:C19"/>
    </sheetView>
  </sheetViews>
  <sheetFormatPr defaultRowHeight="14.25" x14ac:dyDescent="0.45"/>
  <sheetData>
    <row r="3" spans="2:3" x14ac:dyDescent="0.45">
      <c r="B3" s="1"/>
      <c r="C3" s="1"/>
    </row>
    <row r="4" spans="2:3" x14ac:dyDescent="0.45">
      <c r="B4" s="1"/>
      <c r="C4" s="1"/>
    </row>
    <row r="5" spans="2:3" x14ac:dyDescent="0.45">
      <c r="B5" s="1"/>
      <c r="C5" s="1"/>
    </row>
    <row r="6" spans="2:3" x14ac:dyDescent="0.45">
      <c r="B6" s="1"/>
      <c r="C6" s="1"/>
    </row>
    <row r="7" spans="2:3" x14ac:dyDescent="0.45">
      <c r="B7" s="1"/>
      <c r="C7" s="1"/>
    </row>
    <row r="8" spans="2:3" x14ac:dyDescent="0.45">
      <c r="B8" s="1"/>
      <c r="C8" s="1"/>
    </row>
    <row r="9" spans="2:3" x14ac:dyDescent="0.45">
      <c r="B9" s="1"/>
      <c r="C9" s="1"/>
    </row>
    <row r="10" spans="2:3" x14ac:dyDescent="0.45">
      <c r="B10" s="1"/>
      <c r="C10" s="1"/>
    </row>
    <row r="11" spans="2:3" x14ac:dyDescent="0.45">
      <c r="B11" s="1"/>
      <c r="C11" s="1"/>
    </row>
    <row r="12" spans="2:3" x14ac:dyDescent="0.45">
      <c r="B12" s="1"/>
      <c r="C12" s="1"/>
    </row>
    <row r="13" spans="2:3" x14ac:dyDescent="0.45">
      <c r="B13" s="1"/>
      <c r="C13" s="1"/>
    </row>
    <row r="14" spans="2:3" x14ac:dyDescent="0.45">
      <c r="B14" s="1"/>
      <c r="C14" s="1"/>
    </row>
    <row r="15" spans="2:3" x14ac:dyDescent="0.45">
      <c r="B15" s="1"/>
      <c r="C15" s="1"/>
    </row>
    <row r="16" spans="2:3" x14ac:dyDescent="0.45">
      <c r="B16" s="1"/>
      <c r="C16" s="1"/>
    </row>
    <row r="17" spans="2:3" x14ac:dyDescent="0.45">
      <c r="B17" s="1"/>
      <c r="C17" s="1"/>
    </row>
    <row r="18" spans="2:3" x14ac:dyDescent="0.45">
      <c r="B18" s="1"/>
      <c r="C18" s="1"/>
    </row>
    <row r="19" spans="2:3" x14ac:dyDescent="0.45">
      <c r="B19" s="1"/>
      <c r="C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C71B-9321-4297-AD61-E1A0688D04C0}">
  <dimension ref="A3:E32"/>
  <sheetViews>
    <sheetView topLeftCell="A3" zoomScale="130" zoomScaleNormal="130" workbookViewId="0">
      <selection activeCell="F13" sqref="F13"/>
    </sheetView>
  </sheetViews>
  <sheetFormatPr defaultRowHeight="14.25" x14ac:dyDescent="0.45"/>
  <cols>
    <col min="1" max="1" width="20.06640625" bestFit="1" customWidth="1"/>
    <col min="2" max="2" width="15.265625" customWidth="1"/>
    <col min="3" max="3" width="9.73046875" bestFit="1" customWidth="1"/>
    <col min="4" max="4" width="11" bestFit="1" customWidth="1"/>
    <col min="5" max="5" width="12.73046875" bestFit="1" customWidth="1"/>
  </cols>
  <sheetData>
    <row r="3" spans="1:5" ht="14.65" thickBot="1" x14ac:dyDescent="0.5">
      <c r="A3" s="4" t="s">
        <v>511</v>
      </c>
      <c r="B3" s="4" t="s">
        <v>512</v>
      </c>
      <c r="C3" s="2"/>
      <c r="D3" s="3"/>
    </row>
    <row r="4" spans="1:5" ht="14.65" thickBot="1" x14ac:dyDescent="0.5">
      <c r="A4" s="22" t="s">
        <v>515</v>
      </c>
      <c r="B4" s="25" t="s">
        <v>196</v>
      </c>
      <c r="C4" s="26" t="s">
        <v>516</v>
      </c>
      <c r="D4" s="22" t="s">
        <v>513</v>
      </c>
      <c r="E4" s="11" t="s">
        <v>514</v>
      </c>
    </row>
    <row r="5" spans="1:5" x14ac:dyDescent="0.45">
      <c r="A5" s="18" t="s">
        <v>12</v>
      </c>
      <c r="B5" s="12">
        <v>11882.351000000001</v>
      </c>
      <c r="C5" s="23">
        <v>15246.900999999998</v>
      </c>
      <c r="D5" s="13">
        <v>27129.252</v>
      </c>
      <c r="E5" s="9">
        <f>GETPIVOTDATA("Length",$A$3,"type","Collapsed","Tube Seq","L1")/GETPIVOTDATA("Length",$A$3,"Tube Seq","L1")</f>
        <v>0.56200963447130792</v>
      </c>
    </row>
    <row r="6" spans="1:5" x14ac:dyDescent="0.45">
      <c r="A6" s="19" t="s">
        <v>184</v>
      </c>
      <c r="B6" s="14">
        <v>3524.4840000000004</v>
      </c>
      <c r="C6" s="5">
        <v>3395.19</v>
      </c>
      <c r="D6" s="15">
        <v>6919.6740000000009</v>
      </c>
      <c r="E6" s="9">
        <f>GETPIVOTDATA("Length",$A$3,"type","Collapsed","Tube Seq","L10")/GETPIVOTDATA("Length",$A$3,"Tube Seq","L10")</f>
        <v>0.49065750785369361</v>
      </c>
    </row>
    <row r="7" spans="1:5" x14ac:dyDescent="0.45">
      <c r="A7" s="19" t="s">
        <v>33</v>
      </c>
      <c r="B7" s="14">
        <v>24908.864999999998</v>
      </c>
      <c r="C7" s="5">
        <v>24387.175999999999</v>
      </c>
      <c r="D7" s="15">
        <v>49296.040999999997</v>
      </c>
      <c r="E7" s="9">
        <f>GETPIVOTDATA("Length",$A$3,"type","Collapsed","Tube Seq","L2")/GETPIVOTDATA("Length",$A$3,"Tube Seq","L2")</f>
        <v>0.49470861159012752</v>
      </c>
    </row>
    <row r="8" spans="1:5" x14ac:dyDescent="0.45">
      <c r="A8" s="19" t="s">
        <v>91</v>
      </c>
      <c r="B8" s="14">
        <v>2416.8809999999999</v>
      </c>
      <c r="C8" s="5">
        <v>2040.0640000000001</v>
      </c>
      <c r="D8" s="15">
        <v>4456.9449999999997</v>
      </c>
      <c r="E8" s="9">
        <f>GETPIVOTDATA("Length",$A$3,"type","Collapsed","Tube Seq","L3")/GETPIVOTDATA("Length",$A$3,"Tube Seq","L3")</f>
        <v>0.45772698563702274</v>
      </c>
    </row>
    <row r="9" spans="1:5" x14ac:dyDescent="0.45">
      <c r="A9" s="19" t="s">
        <v>96</v>
      </c>
      <c r="B9" s="14">
        <v>7446.2839999999997</v>
      </c>
      <c r="C9" s="5">
        <v>11208.788000000002</v>
      </c>
      <c r="D9" s="15">
        <v>18655.072</v>
      </c>
      <c r="E9" s="9">
        <f>GETPIVOTDATA("Length",$A$3,"type","Collapsed","Tube Seq","L4")/GETPIVOTDATA("Length",$A$3,"Tube Seq","L4")</f>
        <v>0.60084399567045366</v>
      </c>
    </row>
    <row r="10" spans="1:5" x14ac:dyDescent="0.45">
      <c r="A10" s="19" t="s">
        <v>128</v>
      </c>
      <c r="B10" s="14">
        <v>362.21100000000001</v>
      </c>
      <c r="C10" s="5">
        <v>12008.483</v>
      </c>
      <c r="D10" s="15">
        <v>12370.694</v>
      </c>
      <c r="E10" s="9">
        <f>GETPIVOTDATA("Length",$A$3,"type","Collapsed","Tube Seq","L5")/GETPIVOTDATA("Length",$A$3,"Tube Seq","L5")</f>
        <v>0.97072023606759661</v>
      </c>
    </row>
    <row r="11" spans="1:5" x14ac:dyDescent="0.45">
      <c r="A11" s="19" t="s">
        <v>131</v>
      </c>
      <c r="B11" s="14">
        <v>4057.3879999999999</v>
      </c>
      <c r="C11" s="5">
        <v>4298.3490000000002</v>
      </c>
      <c r="D11" s="15">
        <v>8355.737000000001</v>
      </c>
      <c r="E11" s="9">
        <f>GETPIVOTDATA("Length",$A$3,"type","Collapsed","Tube Seq","L6")/GETPIVOTDATA("Length",$A$3,"Tube Seq","L6")</f>
        <v>0.51441889566414067</v>
      </c>
    </row>
    <row r="12" spans="1:5" x14ac:dyDescent="0.45">
      <c r="A12" s="19" t="s">
        <v>135</v>
      </c>
      <c r="B12" s="14">
        <v>17673.649000000001</v>
      </c>
      <c r="C12" s="5">
        <v>5572.0420000000004</v>
      </c>
      <c r="D12" s="15">
        <v>23245.691000000003</v>
      </c>
      <c r="E12" s="9">
        <f>GETPIVOTDATA("Length",$A$3,"type","Collapsed","Tube Seq","L7")/GETPIVOTDATA("Length",$A$3,"Tube Seq","L7")</f>
        <v>0.23970214522768971</v>
      </c>
    </row>
    <row r="13" spans="1:5" x14ac:dyDescent="0.45">
      <c r="A13" s="19" t="s">
        <v>148</v>
      </c>
      <c r="B13" s="14">
        <v>4904.1100000000006</v>
      </c>
      <c r="C13" s="5">
        <v>8245.143</v>
      </c>
      <c r="D13" s="15">
        <v>13149.253000000001</v>
      </c>
      <c r="E13" s="9">
        <f>GETPIVOTDATA("Length",$A$3,"type","Collapsed","Tube Seq","L8")/GETPIVOTDATA("Length",$A$3,"Tube Seq","L8")</f>
        <v>0.6270426920829647</v>
      </c>
    </row>
    <row r="14" spans="1:5" ht="14.65" thickBot="1" x14ac:dyDescent="0.5">
      <c r="A14" s="20" t="s">
        <v>167</v>
      </c>
      <c r="B14" s="14">
        <v>11570.955000000002</v>
      </c>
      <c r="C14" s="5">
        <v>3999.17</v>
      </c>
      <c r="D14" s="15">
        <v>15570.125000000002</v>
      </c>
      <c r="E14" s="9">
        <f>GETPIVOTDATA("Length",$A$3,"type","Collapsed","Tube Seq","L9")/GETPIVOTDATA("Length",$A$3,"Tube Seq","L9")</f>
        <v>0.25684893345429144</v>
      </c>
    </row>
    <row r="15" spans="1:5" ht="14.65" thickBot="1" x14ac:dyDescent="0.5">
      <c r="A15" s="21" t="s">
        <v>513</v>
      </c>
      <c r="B15" s="16">
        <v>88747.178</v>
      </c>
      <c r="C15" s="24">
        <v>90401.305999999982</v>
      </c>
      <c r="D15" s="17">
        <v>179148.484</v>
      </c>
      <c r="E15" s="10">
        <f>GETPIVOTDATA("Length",$A$3,"type","Collapsed")/GETPIVOTDATA("Length",$A$3)</f>
        <v>0.50461663968085813</v>
      </c>
    </row>
    <row r="21" spans="1:5" x14ac:dyDescent="0.45">
      <c r="A21" s="27" t="s">
        <v>515</v>
      </c>
      <c r="B21" s="27" t="s">
        <v>196</v>
      </c>
      <c r="C21" s="27" t="s">
        <v>516</v>
      </c>
      <c r="D21" s="27" t="s">
        <v>513</v>
      </c>
      <c r="E21" s="27" t="s">
        <v>514</v>
      </c>
    </row>
    <row r="22" spans="1:5" x14ac:dyDescent="0.45">
      <c r="A22" s="6" t="s">
        <v>12</v>
      </c>
      <c r="B22" s="7">
        <v>11882.351000000001</v>
      </c>
      <c r="C22" s="7">
        <v>15246.900999999998</v>
      </c>
      <c r="D22" s="7">
        <v>27129.252</v>
      </c>
      <c r="E22" s="8">
        <v>0.56200963447130792</v>
      </c>
    </row>
    <row r="23" spans="1:5" x14ac:dyDescent="0.45">
      <c r="A23" s="6" t="s">
        <v>33</v>
      </c>
      <c r="B23" s="7">
        <v>24908.864999999998</v>
      </c>
      <c r="C23" s="7">
        <v>24387.175999999999</v>
      </c>
      <c r="D23" s="7">
        <v>49296.040999999997</v>
      </c>
      <c r="E23" s="8">
        <v>0.49470861159012752</v>
      </c>
    </row>
    <row r="24" spans="1:5" x14ac:dyDescent="0.45">
      <c r="A24" s="6" t="s">
        <v>91</v>
      </c>
      <c r="B24" s="7">
        <v>2416.8809999999999</v>
      </c>
      <c r="C24" s="7">
        <v>2040.0640000000001</v>
      </c>
      <c r="D24" s="7">
        <v>4456.9449999999997</v>
      </c>
      <c r="E24" s="8">
        <v>0.45772698563702274</v>
      </c>
    </row>
    <row r="25" spans="1:5" x14ac:dyDescent="0.45">
      <c r="A25" s="6" t="s">
        <v>96</v>
      </c>
      <c r="B25" s="7">
        <v>7446.2839999999997</v>
      </c>
      <c r="C25" s="7">
        <v>11208.788000000002</v>
      </c>
      <c r="D25" s="7">
        <v>18655.072</v>
      </c>
      <c r="E25" s="8">
        <v>0.60084399567045366</v>
      </c>
    </row>
    <row r="26" spans="1:5" x14ac:dyDescent="0.45">
      <c r="A26" s="6" t="s">
        <v>128</v>
      </c>
      <c r="B26" s="7">
        <v>362.21100000000001</v>
      </c>
      <c r="C26" s="7">
        <v>12008.483</v>
      </c>
      <c r="D26" s="7">
        <v>12370.694</v>
      </c>
      <c r="E26" s="8">
        <v>0.97072023606759661</v>
      </c>
    </row>
    <row r="27" spans="1:5" x14ac:dyDescent="0.45">
      <c r="A27" s="6" t="s">
        <v>131</v>
      </c>
      <c r="B27" s="7">
        <v>4057.3879999999999</v>
      </c>
      <c r="C27" s="7">
        <v>4298.3490000000002</v>
      </c>
      <c r="D27" s="7">
        <v>8355.737000000001</v>
      </c>
      <c r="E27" s="8">
        <v>0.51441889566414067</v>
      </c>
    </row>
    <row r="28" spans="1:5" x14ac:dyDescent="0.45">
      <c r="A28" s="6" t="s">
        <v>135</v>
      </c>
      <c r="B28" s="7">
        <v>17673.649000000001</v>
      </c>
      <c r="C28" s="7">
        <v>5572.0420000000004</v>
      </c>
      <c r="D28" s="7">
        <v>23245.691000000003</v>
      </c>
      <c r="E28" s="8">
        <v>0.23970214522768971</v>
      </c>
    </row>
    <row r="29" spans="1:5" x14ac:dyDescent="0.45">
      <c r="A29" s="6" t="s">
        <v>148</v>
      </c>
      <c r="B29" s="7">
        <v>4904.1100000000006</v>
      </c>
      <c r="C29" s="7">
        <v>8245.143</v>
      </c>
      <c r="D29" s="7">
        <v>13149.253000000001</v>
      </c>
      <c r="E29" s="8">
        <v>0.6270426920829647</v>
      </c>
    </row>
    <row r="30" spans="1:5" x14ac:dyDescent="0.45">
      <c r="A30" s="6" t="s">
        <v>167</v>
      </c>
      <c r="B30" s="7">
        <v>11570.955000000002</v>
      </c>
      <c r="C30" s="7">
        <v>3999.17</v>
      </c>
      <c r="D30" s="7">
        <v>15570.125000000002</v>
      </c>
      <c r="E30" s="8">
        <v>0.25684893345429144</v>
      </c>
    </row>
    <row r="31" spans="1:5" x14ac:dyDescent="0.45">
      <c r="A31" s="6" t="s">
        <v>184</v>
      </c>
      <c r="B31" s="7">
        <v>3524.4840000000004</v>
      </c>
      <c r="C31" s="7">
        <v>3395.19</v>
      </c>
      <c r="D31" s="7">
        <v>6919.6740000000009</v>
      </c>
      <c r="E31" s="8">
        <v>0.49065750785369361</v>
      </c>
    </row>
    <row r="32" spans="1:5" x14ac:dyDescent="0.45">
      <c r="A32" s="6" t="s">
        <v>513</v>
      </c>
      <c r="B32" s="7">
        <v>88747.178</v>
      </c>
      <c r="C32" s="7">
        <v>90401.305999999982</v>
      </c>
      <c r="D32" s="7">
        <v>179148.484</v>
      </c>
      <c r="E32" s="8">
        <v>0.50461663968085813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183A-9435-4D5C-A8EF-9FDB40D6DEA3}">
  <dimension ref="B3:F317"/>
  <sheetViews>
    <sheetView workbookViewId="0">
      <selection activeCell="K6" sqref="K6"/>
    </sheetView>
  </sheetViews>
  <sheetFormatPr defaultColWidth="10.33203125" defaultRowHeight="14.25" x14ac:dyDescent="0.45"/>
  <cols>
    <col min="2" max="2" width="74.9296875" customWidth="1"/>
    <col min="3" max="3" width="2.19921875" bestFit="1" customWidth="1"/>
    <col min="4" max="4" width="13.6640625" customWidth="1"/>
    <col min="5" max="5" width="21.53125" customWidth="1"/>
    <col min="6" max="6" width="32.9296875" customWidth="1"/>
  </cols>
  <sheetData>
    <row r="3" spans="2:6" x14ac:dyDescent="0.45">
      <c r="B3" s="1" t="s">
        <v>0</v>
      </c>
      <c r="C3" s="1" t="s">
        <v>2</v>
      </c>
      <c r="D3" s="1" t="s">
        <v>193</v>
      </c>
      <c r="E3" s="1" t="s">
        <v>194</v>
      </c>
      <c r="F3" s="1" t="s">
        <v>4</v>
      </c>
    </row>
    <row r="4" spans="2:6" ht="28.5" x14ac:dyDescent="0.45">
      <c r="B4" s="1" t="s">
        <v>195</v>
      </c>
      <c r="C4" s="1"/>
      <c r="D4" s="1" t="s">
        <v>196</v>
      </c>
      <c r="E4" s="1">
        <v>1584.2460000000001</v>
      </c>
      <c r="F4" s="1" t="s">
        <v>12</v>
      </c>
    </row>
    <row r="5" spans="2:6" ht="28.5" x14ac:dyDescent="0.45">
      <c r="B5" s="1" t="s">
        <v>197</v>
      </c>
      <c r="C5" s="1"/>
      <c r="D5" s="1" t="s">
        <v>196</v>
      </c>
      <c r="E5" s="1">
        <v>506.33199999999999</v>
      </c>
      <c r="F5" s="1" t="s">
        <v>12</v>
      </c>
    </row>
    <row r="6" spans="2:6" ht="28.5" x14ac:dyDescent="0.45">
      <c r="B6" s="1" t="s">
        <v>198</v>
      </c>
      <c r="C6" s="1"/>
      <c r="D6" s="1" t="s">
        <v>196</v>
      </c>
      <c r="E6" s="1">
        <v>1918.875</v>
      </c>
      <c r="F6" s="1" t="s">
        <v>12</v>
      </c>
    </row>
    <row r="7" spans="2:6" ht="28.5" x14ac:dyDescent="0.45">
      <c r="B7" s="1" t="s">
        <v>199</v>
      </c>
      <c r="C7" s="1"/>
      <c r="D7" s="1" t="s">
        <v>196</v>
      </c>
      <c r="E7" s="1">
        <v>112.512</v>
      </c>
      <c r="F7" s="1" t="s">
        <v>12</v>
      </c>
    </row>
    <row r="8" spans="2:6" ht="28.5" x14ac:dyDescent="0.45">
      <c r="B8" s="1" t="s">
        <v>200</v>
      </c>
      <c r="C8" s="1"/>
      <c r="D8" s="1" t="s">
        <v>196</v>
      </c>
      <c r="E8" s="1">
        <v>135.98599999999999</v>
      </c>
      <c r="F8" s="1" t="s">
        <v>12</v>
      </c>
    </row>
    <row r="9" spans="2:6" ht="28.5" x14ac:dyDescent="0.45">
      <c r="B9" s="1" t="s">
        <v>201</v>
      </c>
      <c r="C9" s="1"/>
      <c r="D9" s="1" t="s">
        <v>196</v>
      </c>
      <c r="E9" s="1">
        <v>163.71899999999999</v>
      </c>
      <c r="F9" s="1" t="s">
        <v>12</v>
      </c>
    </row>
    <row r="10" spans="2:6" ht="28.5" x14ac:dyDescent="0.45">
      <c r="B10" s="1" t="s">
        <v>202</v>
      </c>
      <c r="C10" s="1"/>
      <c r="D10" s="1" t="s">
        <v>196</v>
      </c>
      <c r="E10" s="1">
        <v>458.11500000000001</v>
      </c>
      <c r="F10" s="1" t="s">
        <v>12</v>
      </c>
    </row>
    <row r="11" spans="2:6" ht="28.5" x14ac:dyDescent="0.45">
      <c r="B11" s="1" t="s">
        <v>203</v>
      </c>
      <c r="C11" s="1"/>
      <c r="D11" s="1" t="s">
        <v>196</v>
      </c>
      <c r="E11" s="1">
        <v>2132.154</v>
      </c>
      <c r="F11" s="1" t="s">
        <v>12</v>
      </c>
    </row>
    <row r="12" spans="2:6" ht="28.5" x14ac:dyDescent="0.45">
      <c r="B12" s="1" t="s">
        <v>204</v>
      </c>
      <c r="C12" s="1"/>
      <c r="D12" s="1" t="s">
        <v>196</v>
      </c>
      <c r="E12" s="1">
        <v>1066.6110000000001</v>
      </c>
      <c r="F12" s="1" t="s">
        <v>12</v>
      </c>
    </row>
    <row r="13" spans="2:6" ht="28.5" x14ac:dyDescent="0.45">
      <c r="B13" s="1" t="s">
        <v>205</v>
      </c>
      <c r="C13" s="1"/>
      <c r="D13" s="1" t="s">
        <v>196</v>
      </c>
      <c r="E13" s="1">
        <v>657.553</v>
      </c>
      <c r="F13" s="1" t="s">
        <v>12</v>
      </c>
    </row>
    <row r="14" spans="2:6" ht="28.5" x14ac:dyDescent="0.45">
      <c r="B14" s="1" t="s">
        <v>206</v>
      </c>
      <c r="C14" s="1"/>
      <c r="D14" s="1" t="s">
        <v>196</v>
      </c>
      <c r="E14" s="1">
        <v>98.093999999999994</v>
      </c>
      <c r="F14" s="1" t="s">
        <v>12</v>
      </c>
    </row>
    <row r="15" spans="2:6" ht="28.5" x14ac:dyDescent="0.45">
      <c r="B15" s="1" t="s">
        <v>207</v>
      </c>
      <c r="C15" s="1"/>
      <c r="D15" s="1" t="s">
        <v>196</v>
      </c>
      <c r="E15" s="1">
        <v>3048.154</v>
      </c>
      <c r="F15" s="1" t="s">
        <v>12</v>
      </c>
    </row>
    <row r="16" spans="2:6" ht="28.5" x14ac:dyDescent="0.45">
      <c r="B16" s="1" t="s">
        <v>347</v>
      </c>
      <c r="C16" s="1"/>
      <c r="D16" s="1" t="s">
        <v>348</v>
      </c>
      <c r="E16" s="1">
        <v>5348.0379999999996</v>
      </c>
      <c r="F16" s="1" t="s">
        <v>12</v>
      </c>
    </row>
    <row r="17" spans="2:6" ht="28.5" x14ac:dyDescent="0.45">
      <c r="B17" s="1" t="s">
        <v>349</v>
      </c>
      <c r="C17" s="1"/>
      <c r="D17" s="1" t="s">
        <v>348</v>
      </c>
      <c r="E17" s="1">
        <v>456.173</v>
      </c>
      <c r="F17" s="1" t="s">
        <v>12</v>
      </c>
    </row>
    <row r="18" spans="2:6" ht="28.5" x14ac:dyDescent="0.45">
      <c r="B18" s="1" t="s">
        <v>350</v>
      </c>
      <c r="C18" s="1"/>
      <c r="D18" s="1" t="s">
        <v>348</v>
      </c>
      <c r="E18" s="1">
        <v>351.37099999999998</v>
      </c>
      <c r="F18" s="1" t="s">
        <v>12</v>
      </c>
    </row>
    <row r="19" spans="2:6" ht="28.5" x14ac:dyDescent="0.45">
      <c r="B19" s="1" t="s">
        <v>351</v>
      </c>
      <c r="C19" s="1"/>
      <c r="D19" s="1" t="s">
        <v>348</v>
      </c>
      <c r="E19" s="1">
        <v>794.63300000000004</v>
      </c>
      <c r="F19" s="1" t="s">
        <v>12</v>
      </c>
    </row>
    <row r="20" spans="2:6" ht="42.75" x14ac:dyDescent="0.45">
      <c r="B20" s="1" t="s">
        <v>352</v>
      </c>
      <c r="C20" s="1"/>
      <c r="D20" s="1" t="s">
        <v>348</v>
      </c>
      <c r="E20" s="1">
        <v>898.07600000000002</v>
      </c>
      <c r="F20" s="1" t="s">
        <v>12</v>
      </c>
    </row>
    <row r="21" spans="2:6" ht="28.5" x14ac:dyDescent="0.45">
      <c r="B21" s="1" t="s">
        <v>353</v>
      </c>
      <c r="C21" s="1"/>
      <c r="D21" s="1" t="s">
        <v>348</v>
      </c>
      <c r="E21" s="1">
        <v>576.60500000000002</v>
      </c>
      <c r="F21" s="1" t="s">
        <v>12</v>
      </c>
    </row>
    <row r="22" spans="2:6" ht="71.25" x14ac:dyDescent="0.45">
      <c r="B22" s="1" t="s">
        <v>354</v>
      </c>
      <c r="C22" s="1"/>
      <c r="D22" s="1" t="s">
        <v>348</v>
      </c>
      <c r="E22" s="1">
        <v>2211.5279999999998</v>
      </c>
      <c r="F22" s="1" t="s">
        <v>12</v>
      </c>
    </row>
    <row r="23" spans="2:6" ht="28.5" x14ac:dyDescent="0.45">
      <c r="B23" s="1" t="s">
        <v>355</v>
      </c>
      <c r="C23" s="1"/>
      <c r="D23" s="1" t="s">
        <v>348</v>
      </c>
      <c r="E23" s="1">
        <v>1061.6179999999999</v>
      </c>
      <c r="F23" s="1" t="s">
        <v>12</v>
      </c>
    </row>
    <row r="24" spans="2:6" ht="71.25" x14ac:dyDescent="0.45">
      <c r="B24" s="1" t="s">
        <v>356</v>
      </c>
      <c r="C24" s="1"/>
      <c r="D24" s="1" t="s">
        <v>348</v>
      </c>
      <c r="E24" s="1">
        <v>1782.1759999999999</v>
      </c>
      <c r="F24" s="1" t="s">
        <v>12</v>
      </c>
    </row>
    <row r="25" spans="2:6" ht="28.5" x14ac:dyDescent="0.45">
      <c r="B25" s="1" t="s">
        <v>357</v>
      </c>
      <c r="C25" s="1"/>
      <c r="D25" s="1" t="s">
        <v>348</v>
      </c>
      <c r="E25" s="1">
        <v>175.95599999999999</v>
      </c>
      <c r="F25" s="1" t="s">
        <v>12</v>
      </c>
    </row>
    <row r="26" spans="2:6" ht="28.5" x14ac:dyDescent="0.45">
      <c r="B26" s="1" t="s">
        <v>358</v>
      </c>
      <c r="C26" s="1"/>
      <c r="D26" s="1" t="s">
        <v>348</v>
      </c>
      <c r="E26" s="1">
        <v>427.25700000000001</v>
      </c>
      <c r="F26" s="1" t="s">
        <v>12</v>
      </c>
    </row>
    <row r="27" spans="2:6" ht="28.5" x14ac:dyDescent="0.45">
      <c r="B27" s="1" t="s">
        <v>359</v>
      </c>
      <c r="C27" s="1"/>
      <c r="D27" s="1" t="s">
        <v>348</v>
      </c>
      <c r="E27" s="1">
        <v>253.06299999999999</v>
      </c>
      <c r="F27" s="1" t="s">
        <v>12</v>
      </c>
    </row>
    <row r="28" spans="2:6" ht="28.5" x14ac:dyDescent="0.45">
      <c r="B28" s="1" t="s">
        <v>360</v>
      </c>
      <c r="C28" s="1"/>
      <c r="D28" s="1" t="s">
        <v>348</v>
      </c>
      <c r="E28" s="1">
        <v>910.40700000000004</v>
      </c>
      <c r="F28" s="1" t="s">
        <v>12</v>
      </c>
    </row>
    <row r="29" spans="2:6" ht="28.5" x14ac:dyDescent="0.45">
      <c r="B29" s="1" t="s">
        <v>340</v>
      </c>
      <c r="C29" s="1"/>
      <c r="D29" s="1" t="s">
        <v>196</v>
      </c>
      <c r="E29" s="1">
        <v>1117.1310000000001</v>
      </c>
      <c r="F29" s="1" t="s">
        <v>184</v>
      </c>
    </row>
    <row r="30" spans="2:6" ht="28.5" x14ac:dyDescent="0.45">
      <c r="B30" s="1" t="s">
        <v>341</v>
      </c>
      <c r="C30" s="1"/>
      <c r="D30" s="1" t="s">
        <v>196</v>
      </c>
      <c r="E30" s="1">
        <v>367.05200000000002</v>
      </c>
      <c r="F30" s="1" t="s">
        <v>184</v>
      </c>
    </row>
    <row r="31" spans="2:6" ht="28.5" x14ac:dyDescent="0.45">
      <c r="B31" s="1" t="s">
        <v>342</v>
      </c>
      <c r="C31" s="1"/>
      <c r="D31" s="1" t="s">
        <v>196</v>
      </c>
      <c r="E31" s="1">
        <v>454.22800000000001</v>
      </c>
      <c r="F31" s="1" t="s">
        <v>184</v>
      </c>
    </row>
    <row r="32" spans="2:6" ht="28.5" x14ac:dyDescent="0.45">
      <c r="B32" s="1" t="s">
        <v>343</v>
      </c>
      <c r="C32" s="1"/>
      <c r="D32" s="1" t="s">
        <v>196</v>
      </c>
      <c r="E32" s="1">
        <v>175.06800000000001</v>
      </c>
      <c r="F32" s="1" t="s">
        <v>184</v>
      </c>
    </row>
    <row r="33" spans="2:6" ht="28.5" x14ac:dyDescent="0.45">
      <c r="B33" s="1" t="s">
        <v>344</v>
      </c>
      <c r="C33" s="1"/>
      <c r="D33" s="1" t="s">
        <v>196</v>
      </c>
      <c r="E33" s="1">
        <v>316.30599999999998</v>
      </c>
      <c r="F33" s="1" t="s">
        <v>184</v>
      </c>
    </row>
    <row r="34" spans="2:6" ht="28.5" x14ac:dyDescent="0.45">
      <c r="B34" s="1" t="s">
        <v>345</v>
      </c>
      <c r="C34" s="1"/>
      <c r="D34" s="1" t="s">
        <v>196</v>
      </c>
      <c r="E34" s="1">
        <v>861.58199999999999</v>
      </c>
      <c r="F34" s="1" t="s">
        <v>184</v>
      </c>
    </row>
    <row r="35" spans="2:6" ht="28.5" x14ac:dyDescent="0.45">
      <c r="B35" s="1" t="s">
        <v>346</v>
      </c>
      <c r="C35" s="1"/>
      <c r="D35" s="1" t="s">
        <v>196</v>
      </c>
      <c r="E35" s="1">
        <v>233.11699999999999</v>
      </c>
      <c r="F35" s="1" t="s">
        <v>184</v>
      </c>
    </row>
    <row r="36" spans="2:6" ht="28.5" x14ac:dyDescent="0.45">
      <c r="B36" s="1" t="s">
        <v>502</v>
      </c>
      <c r="C36" s="1"/>
      <c r="D36" s="1" t="s">
        <v>348</v>
      </c>
      <c r="E36" s="1">
        <v>260.892</v>
      </c>
      <c r="F36" s="1" t="s">
        <v>184</v>
      </c>
    </row>
    <row r="37" spans="2:6" ht="28.5" x14ac:dyDescent="0.45">
      <c r="B37" s="1" t="s">
        <v>503</v>
      </c>
      <c r="C37" s="1"/>
      <c r="D37" s="1" t="s">
        <v>348</v>
      </c>
      <c r="E37" s="1">
        <v>266.45699999999999</v>
      </c>
      <c r="F37" s="1" t="s">
        <v>184</v>
      </c>
    </row>
    <row r="38" spans="2:6" ht="28.5" x14ac:dyDescent="0.45">
      <c r="B38" s="1" t="s">
        <v>504</v>
      </c>
      <c r="C38" s="1"/>
      <c r="D38" s="1" t="s">
        <v>348</v>
      </c>
      <c r="E38" s="1">
        <v>537.92600000000004</v>
      </c>
      <c r="F38" s="1" t="s">
        <v>184</v>
      </c>
    </row>
    <row r="39" spans="2:6" ht="28.5" x14ac:dyDescent="0.45">
      <c r="B39" s="1" t="s">
        <v>505</v>
      </c>
      <c r="C39" s="1"/>
      <c r="D39" s="1" t="s">
        <v>348</v>
      </c>
      <c r="E39" s="1">
        <v>591.702</v>
      </c>
      <c r="F39" s="1" t="s">
        <v>184</v>
      </c>
    </row>
    <row r="40" spans="2:6" ht="28.5" x14ac:dyDescent="0.45">
      <c r="B40" s="1" t="s">
        <v>506</v>
      </c>
      <c r="C40" s="1"/>
      <c r="D40" s="1" t="s">
        <v>348</v>
      </c>
      <c r="E40" s="1">
        <v>344.11399999999998</v>
      </c>
      <c r="F40" s="1" t="s">
        <v>184</v>
      </c>
    </row>
    <row r="41" spans="2:6" ht="28.5" x14ac:dyDescent="0.45">
      <c r="B41" s="1" t="s">
        <v>507</v>
      </c>
      <c r="C41" s="1"/>
      <c r="D41" s="1" t="s">
        <v>348</v>
      </c>
      <c r="E41" s="1">
        <v>203.209</v>
      </c>
      <c r="F41" s="1" t="s">
        <v>184</v>
      </c>
    </row>
    <row r="42" spans="2:6" ht="28.5" x14ac:dyDescent="0.45">
      <c r="B42" s="1" t="s">
        <v>508</v>
      </c>
      <c r="C42" s="1"/>
      <c r="D42" s="1" t="s">
        <v>348</v>
      </c>
      <c r="E42" s="1">
        <v>867.96600000000001</v>
      </c>
      <c r="F42" s="1" t="s">
        <v>184</v>
      </c>
    </row>
    <row r="43" spans="2:6" ht="28.5" x14ac:dyDescent="0.45">
      <c r="B43" s="1" t="s">
        <v>509</v>
      </c>
      <c r="C43" s="1"/>
      <c r="D43" s="1" t="s">
        <v>348</v>
      </c>
      <c r="E43" s="1">
        <v>322.92399999999998</v>
      </c>
      <c r="F43" s="1" t="s">
        <v>184</v>
      </c>
    </row>
    <row r="44" spans="2:6" ht="28.5" x14ac:dyDescent="0.45">
      <c r="B44" s="1" t="s">
        <v>208</v>
      </c>
      <c r="C44" s="1"/>
      <c r="D44" s="1" t="s">
        <v>196</v>
      </c>
      <c r="E44" s="1">
        <v>1020.453</v>
      </c>
      <c r="F44" s="1" t="s">
        <v>33</v>
      </c>
    </row>
    <row r="45" spans="2:6" ht="28.5" x14ac:dyDescent="0.45">
      <c r="B45" s="1" t="s">
        <v>209</v>
      </c>
      <c r="C45" s="1"/>
      <c r="D45" s="1" t="s">
        <v>196</v>
      </c>
      <c r="E45" s="1">
        <v>576.99900000000002</v>
      </c>
      <c r="F45" s="1" t="s">
        <v>33</v>
      </c>
    </row>
    <row r="46" spans="2:6" ht="28.5" x14ac:dyDescent="0.45">
      <c r="B46" s="1" t="s">
        <v>210</v>
      </c>
      <c r="C46" s="1"/>
      <c r="D46" s="1" t="s">
        <v>196</v>
      </c>
      <c r="E46" s="1">
        <v>385.96300000000002</v>
      </c>
      <c r="F46" s="1" t="s">
        <v>33</v>
      </c>
    </row>
    <row r="47" spans="2:6" ht="28.5" x14ac:dyDescent="0.45">
      <c r="B47" s="1" t="s">
        <v>211</v>
      </c>
      <c r="C47" s="1"/>
      <c r="D47" s="1" t="s">
        <v>196</v>
      </c>
      <c r="E47" s="1">
        <v>122.354</v>
      </c>
      <c r="F47" s="1" t="s">
        <v>33</v>
      </c>
    </row>
    <row r="48" spans="2:6" ht="28.5" x14ac:dyDescent="0.45">
      <c r="B48" s="1" t="s">
        <v>212</v>
      </c>
      <c r="C48" s="1"/>
      <c r="D48" s="1" t="s">
        <v>196</v>
      </c>
      <c r="E48" s="1">
        <v>831.721</v>
      </c>
      <c r="F48" s="1" t="s">
        <v>33</v>
      </c>
    </row>
    <row r="49" spans="2:6" ht="28.5" x14ac:dyDescent="0.45">
      <c r="B49" s="1" t="s">
        <v>213</v>
      </c>
      <c r="C49" s="1"/>
      <c r="D49" s="1" t="s">
        <v>196</v>
      </c>
      <c r="E49" s="1">
        <v>175.13800000000001</v>
      </c>
      <c r="F49" s="1" t="s">
        <v>33</v>
      </c>
    </row>
    <row r="50" spans="2:6" ht="28.5" x14ac:dyDescent="0.45">
      <c r="B50" s="1" t="s">
        <v>214</v>
      </c>
      <c r="C50" s="1"/>
      <c r="D50" s="1" t="s">
        <v>196</v>
      </c>
      <c r="E50" s="1">
        <v>134.87700000000001</v>
      </c>
      <c r="F50" s="1" t="s">
        <v>33</v>
      </c>
    </row>
    <row r="51" spans="2:6" ht="28.5" x14ac:dyDescent="0.45">
      <c r="B51" s="1" t="s">
        <v>215</v>
      </c>
      <c r="C51" s="1"/>
      <c r="D51" s="1" t="s">
        <v>196</v>
      </c>
      <c r="E51" s="1">
        <v>202.58699999999999</v>
      </c>
      <c r="F51" s="1" t="s">
        <v>33</v>
      </c>
    </row>
    <row r="52" spans="2:6" ht="28.5" x14ac:dyDescent="0.45">
      <c r="B52" s="1" t="s">
        <v>216</v>
      </c>
      <c r="C52" s="1"/>
      <c r="D52" s="1" t="s">
        <v>196</v>
      </c>
      <c r="E52" s="1">
        <v>245.07300000000001</v>
      </c>
      <c r="F52" s="1" t="s">
        <v>33</v>
      </c>
    </row>
    <row r="53" spans="2:6" ht="28.5" x14ac:dyDescent="0.45">
      <c r="B53" s="1" t="s">
        <v>217</v>
      </c>
      <c r="C53" s="1"/>
      <c r="D53" s="1" t="s">
        <v>196</v>
      </c>
      <c r="E53" s="1">
        <v>201.012</v>
      </c>
      <c r="F53" s="1" t="s">
        <v>33</v>
      </c>
    </row>
    <row r="54" spans="2:6" ht="28.5" x14ac:dyDescent="0.45">
      <c r="B54" s="1" t="s">
        <v>218</v>
      </c>
      <c r="C54" s="1"/>
      <c r="D54" s="1" t="s">
        <v>196</v>
      </c>
      <c r="E54" s="1">
        <v>513.45399999999995</v>
      </c>
      <c r="F54" s="1" t="s">
        <v>33</v>
      </c>
    </row>
    <row r="55" spans="2:6" ht="28.5" x14ac:dyDescent="0.45">
      <c r="B55" s="1" t="s">
        <v>219</v>
      </c>
      <c r="C55" s="1"/>
      <c r="D55" s="1" t="s">
        <v>196</v>
      </c>
      <c r="E55" s="1">
        <v>177.87</v>
      </c>
      <c r="F55" s="1" t="s">
        <v>33</v>
      </c>
    </row>
    <row r="56" spans="2:6" ht="28.5" x14ac:dyDescent="0.45">
      <c r="B56" s="1" t="s">
        <v>220</v>
      </c>
      <c r="C56" s="1"/>
      <c r="D56" s="1" t="s">
        <v>196</v>
      </c>
      <c r="E56" s="1">
        <v>128.40600000000001</v>
      </c>
      <c r="F56" s="1" t="s">
        <v>33</v>
      </c>
    </row>
    <row r="57" spans="2:6" ht="28.5" x14ac:dyDescent="0.45">
      <c r="B57" s="1" t="s">
        <v>221</v>
      </c>
      <c r="C57" s="1"/>
      <c r="D57" s="1" t="s">
        <v>196</v>
      </c>
      <c r="E57" s="1">
        <v>369.57</v>
      </c>
      <c r="F57" s="1" t="s">
        <v>33</v>
      </c>
    </row>
    <row r="58" spans="2:6" ht="28.5" x14ac:dyDescent="0.45">
      <c r="B58" s="1" t="s">
        <v>222</v>
      </c>
      <c r="C58" s="1"/>
      <c r="D58" s="1" t="s">
        <v>196</v>
      </c>
      <c r="E58" s="1">
        <v>60.139000000000003</v>
      </c>
      <c r="F58" s="1" t="s">
        <v>33</v>
      </c>
    </row>
    <row r="59" spans="2:6" ht="28.5" x14ac:dyDescent="0.45">
      <c r="B59" s="1" t="s">
        <v>223</v>
      </c>
      <c r="C59" s="1"/>
      <c r="D59" s="1" t="s">
        <v>196</v>
      </c>
      <c r="E59" s="1">
        <v>131.78</v>
      </c>
      <c r="F59" s="1" t="s">
        <v>33</v>
      </c>
    </row>
    <row r="60" spans="2:6" ht="28.5" x14ac:dyDescent="0.45">
      <c r="B60" s="1" t="s">
        <v>224</v>
      </c>
      <c r="C60" s="1"/>
      <c r="D60" s="1" t="s">
        <v>196</v>
      </c>
      <c r="E60" s="1">
        <v>233.32300000000001</v>
      </c>
      <c r="F60" s="1" t="s">
        <v>33</v>
      </c>
    </row>
    <row r="61" spans="2:6" ht="28.5" x14ac:dyDescent="0.45">
      <c r="B61" s="1" t="s">
        <v>225</v>
      </c>
      <c r="C61" s="1"/>
      <c r="D61" s="1" t="s">
        <v>196</v>
      </c>
      <c r="E61" s="1">
        <v>948.94600000000003</v>
      </c>
      <c r="F61" s="1" t="s">
        <v>33</v>
      </c>
    </row>
    <row r="62" spans="2:6" ht="28.5" x14ac:dyDescent="0.45">
      <c r="B62" s="1" t="s">
        <v>226</v>
      </c>
      <c r="C62" s="1"/>
      <c r="D62" s="1" t="s">
        <v>196</v>
      </c>
      <c r="E62" s="1">
        <v>200.928</v>
      </c>
      <c r="F62" s="1" t="s">
        <v>33</v>
      </c>
    </row>
    <row r="63" spans="2:6" ht="28.5" x14ac:dyDescent="0.45">
      <c r="B63" s="1" t="s">
        <v>227</v>
      </c>
      <c r="C63" s="1"/>
      <c r="D63" s="1" t="s">
        <v>196</v>
      </c>
      <c r="E63" s="1">
        <v>1184.165</v>
      </c>
      <c r="F63" s="1" t="s">
        <v>33</v>
      </c>
    </row>
    <row r="64" spans="2:6" ht="28.5" x14ac:dyDescent="0.45">
      <c r="B64" s="1" t="s">
        <v>228</v>
      </c>
      <c r="C64" s="1"/>
      <c r="D64" s="1" t="s">
        <v>196</v>
      </c>
      <c r="E64" s="1">
        <v>605.54499999999996</v>
      </c>
      <c r="F64" s="1" t="s">
        <v>33</v>
      </c>
    </row>
    <row r="65" spans="2:6" ht="28.5" x14ac:dyDescent="0.45">
      <c r="B65" s="1" t="s">
        <v>229</v>
      </c>
      <c r="C65" s="1"/>
      <c r="D65" s="1" t="s">
        <v>196</v>
      </c>
      <c r="E65" s="1">
        <v>77.287000000000006</v>
      </c>
      <c r="F65" s="1" t="s">
        <v>33</v>
      </c>
    </row>
    <row r="66" spans="2:6" ht="28.5" x14ac:dyDescent="0.45">
      <c r="B66" s="1" t="s">
        <v>230</v>
      </c>
      <c r="C66" s="1"/>
      <c r="D66" s="1" t="s">
        <v>196</v>
      </c>
      <c r="E66" s="1">
        <v>401.33100000000002</v>
      </c>
      <c r="F66" s="1" t="s">
        <v>33</v>
      </c>
    </row>
    <row r="67" spans="2:6" ht="28.5" x14ac:dyDescent="0.45">
      <c r="B67" s="1" t="s">
        <v>231</v>
      </c>
      <c r="C67" s="1"/>
      <c r="D67" s="1" t="s">
        <v>196</v>
      </c>
      <c r="E67" s="1">
        <v>498.41699999999997</v>
      </c>
      <c r="F67" s="1" t="s">
        <v>33</v>
      </c>
    </row>
    <row r="68" spans="2:6" ht="28.5" x14ac:dyDescent="0.45">
      <c r="B68" s="1" t="s">
        <v>232</v>
      </c>
      <c r="C68" s="1"/>
      <c r="D68" s="1" t="s">
        <v>196</v>
      </c>
      <c r="E68" s="1">
        <v>1181.258</v>
      </c>
      <c r="F68" s="1" t="s">
        <v>33</v>
      </c>
    </row>
    <row r="69" spans="2:6" ht="28.5" x14ac:dyDescent="0.45">
      <c r="B69" s="1" t="s">
        <v>233</v>
      </c>
      <c r="C69" s="1"/>
      <c r="D69" s="1" t="s">
        <v>196</v>
      </c>
      <c r="E69" s="1">
        <v>74.308000000000007</v>
      </c>
      <c r="F69" s="1" t="s">
        <v>33</v>
      </c>
    </row>
    <row r="70" spans="2:6" ht="28.5" x14ac:dyDescent="0.45">
      <c r="B70" s="1" t="s">
        <v>234</v>
      </c>
      <c r="C70" s="1"/>
      <c r="D70" s="1" t="s">
        <v>196</v>
      </c>
      <c r="E70" s="1">
        <v>185.755</v>
      </c>
      <c r="F70" s="1" t="s">
        <v>33</v>
      </c>
    </row>
    <row r="71" spans="2:6" ht="28.5" x14ac:dyDescent="0.45">
      <c r="B71" s="1" t="s">
        <v>235</v>
      </c>
      <c r="C71" s="1"/>
      <c r="D71" s="1" t="s">
        <v>196</v>
      </c>
      <c r="E71" s="1">
        <v>778.81399999999996</v>
      </c>
      <c r="F71" s="1" t="s">
        <v>33</v>
      </c>
    </row>
    <row r="72" spans="2:6" ht="28.5" x14ac:dyDescent="0.45">
      <c r="B72" s="1" t="s">
        <v>236</v>
      </c>
      <c r="C72" s="1"/>
      <c r="D72" s="1" t="s">
        <v>196</v>
      </c>
      <c r="E72" s="1">
        <v>202.41200000000001</v>
      </c>
      <c r="F72" s="1" t="s">
        <v>33</v>
      </c>
    </row>
    <row r="73" spans="2:6" ht="28.5" x14ac:dyDescent="0.45">
      <c r="B73" s="1" t="s">
        <v>237</v>
      </c>
      <c r="C73" s="1"/>
      <c r="D73" s="1" t="s">
        <v>196</v>
      </c>
      <c r="E73" s="1">
        <v>91.024000000000001</v>
      </c>
      <c r="F73" s="1" t="s">
        <v>33</v>
      </c>
    </row>
    <row r="74" spans="2:6" ht="28.5" x14ac:dyDescent="0.45">
      <c r="B74" s="1" t="s">
        <v>238</v>
      </c>
      <c r="C74" s="1"/>
      <c r="D74" s="1" t="s">
        <v>196</v>
      </c>
      <c r="E74" s="1">
        <v>516.10799999999995</v>
      </c>
      <c r="F74" s="1" t="s">
        <v>33</v>
      </c>
    </row>
    <row r="75" spans="2:6" ht="28.5" x14ac:dyDescent="0.45">
      <c r="B75" s="1" t="s">
        <v>239</v>
      </c>
      <c r="C75" s="1"/>
      <c r="D75" s="1" t="s">
        <v>196</v>
      </c>
      <c r="E75" s="1">
        <v>99.394999999999996</v>
      </c>
      <c r="F75" s="1" t="s">
        <v>33</v>
      </c>
    </row>
    <row r="76" spans="2:6" ht="28.5" x14ac:dyDescent="0.45">
      <c r="B76" s="1" t="s">
        <v>240</v>
      </c>
      <c r="C76" s="1"/>
      <c r="D76" s="1" t="s">
        <v>196</v>
      </c>
      <c r="E76" s="1">
        <v>2120.5230000000001</v>
      </c>
      <c r="F76" s="1" t="s">
        <v>33</v>
      </c>
    </row>
    <row r="77" spans="2:6" ht="28.5" x14ac:dyDescent="0.45">
      <c r="B77" s="1" t="s">
        <v>241</v>
      </c>
      <c r="C77" s="1"/>
      <c r="D77" s="1" t="s">
        <v>196</v>
      </c>
      <c r="E77" s="1">
        <v>228.09399999999999</v>
      </c>
      <c r="F77" s="1" t="s">
        <v>33</v>
      </c>
    </row>
    <row r="78" spans="2:6" ht="28.5" x14ac:dyDescent="0.45">
      <c r="B78" s="1" t="s">
        <v>242</v>
      </c>
      <c r="C78" s="1"/>
      <c r="D78" s="1" t="s">
        <v>196</v>
      </c>
      <c r="E78" s="1">
        <v>135.92599999999999</v>
      </c>
      <c r="F78" s="1" t="s">
        <v>33</v>
      </c>
    </row>
    <row r="79" spans="2:6" ht="28.5" x14ac:dyDescent="0.45">
      <c r="B79" s="1" t="s">
        <v>243</v>
      </c>
      <c r="C79" s="1"/>
      <c r="D79" s="1" t="s">
        <v>196</v>
      </c>
      <c r="E79" s="1">
        <v>371.73700000000002</v>
      </c>
      <c r="F79" s="1" t="s">
        <v>33</v>
      </c>
    </row>
    <row r="80" spans="2:6" ht="28.5" x14ac:dyDescent="0.45">
      <c r="B80" s="1" t="s">
        <v>244</v>
      </c>
      <c r="C80" s="1"/>
      <c r="D80" s="1" t="s">
        <v>196</v>
      </c>
      <c r="E80" s="1">
        <v>484.07400000000001</v>
      </c>
      <c r="F80" s="1" t="s">
        <v>33</v>
      </c>
    </row>
    <row r="81" spans="2:6" ht="28.5" x14ac:dyDescent="0.45">
      <c r="B81" s="1" t="s">
        <v>245</v>
      </c>
      <c r="C81" s="1"/>
      <c r="D81" s="1" t="s">
        <v>196</v>
      </c>
      <c r="E81" s="1">
        <v>209.66900000000001</v>
      </c>
      <c r="F81" s="1" t="s">
        <v>33</v>
      </c>
    </row>
    <row r="82" spans="2:6" ht="28.5" x14ac:dyDescent="0.45">
      <c r="B82" s="1" t="s">
        <v>246</v>
      </c>
      <c r="C82" s="1"/>
      <c r="D82" s="1" t="s">
        <v>196</v>
      </c>
      <c r="E82" s="1">
        <v>558.15700000000004</v>
      </c>
      <c r="F82" s="1" t="s">
        <v>33</v>
      </c>
    </row>
    <row r="83" spans="2:6" ht="28.5" x14ac:dyDescent="0.45">
      <c r="B83" s="1" t="s">
        <v>247</v>
      </c>
      <c r="C83" s="1"/>
      <c r="D83" s="1" t="s">
        <v>196</v>
      </c>
      <c r="E83" s="1">
        <v>82.152000000000001</v>
      </c>
      <c r="F83" s="1" t="s">
        <v>33</v>
      </c>
    </row>
    <row r="84" spans="2:6" ht="28.5" x14ac:dyDescent="0.45">
      <c r="B84" s="1" t="s">
        <v>248</v>
      </c>
      <c r="C84" s="1"/>
      <c r="D84" s="1" t="s">
        <v>196</v>
      </c>
      <c r="E84" s="1">
        <v>77.828000000000003</v>
      </c>
      <c r="F84" s="1" t="s">
        <v>33</v>
      </c>
    </row>
    <row r="85" spans="2:6" ht="28.5" x14ac:dyDescent="0.45">
      <c r="B85" s="1" t="s">
        <v>249</v>
      </c>
      <c r="C85" s="1"/>
      <c r="D85" s="1" t="s">
        <v>196</v>
      </c>
      <c r="E85" s="1">
        <v>359.15100000000001</v>
      </c>
      <c r="F85" s="1" t="s">
        <v>33</v>
      </c>
    </row>
    <row r="86" spans="2:6" ht="28.5" x14ac:dyDescent="0.45">
      <c r="B86" s="1" t="s">
        <v>250</v>
      </c>
      <c r="C86" s="1"/>
      <c r="D86" s="1" t="s">
        <v>196</v>
      </c>
      <c r="E86" s="1">
        <v>65.501000000000005</v>
      </c>
      <c r="F86" s="1" t="s">
        <v>33</v>
      </c>
    </row>
    <row r="87" spans="2:6" ht="28.5" x14ac:dyDescent="0.45">
      <c r="B87" s="1" t="s">
        <v>251</v>
      </c>
      <c r="C87" s="1"/>
      <c r="D87" s="1" t="s">
        <v>196</v>
      </c>
      <c r="E87" s="1">
        <v>61.966000000000001</v>
      </c>
      <c r="F87" s="1" t="s">
        <v>33</v>
      </c>
    </row>
    <row r="88" spans="2:6" ht="28.5" x14ac:dyDescent="0.45">
      <c r="B88" s="1" t="s">
        <v>252</v>
      </c>
      <c r="C88" s="1"/>
      <c r="D88" s="1" t="s">
        <v>196</v>
      </c>
      <c r="E88" s="1">
        <v>182.52</v>
      </c>
      <c r="F88" s="1" t="s">
        <v>33</v>
      </c>
    </row>
    <row r="89" spans="2:6" ht="28.5" x14ac:dyDescent="0.45">
      <c r="B89" s="1" t="s">
        <v>253</v>
      </c>
      <c r="C89" s="1"/>
      <c r="D89" s="1" t="s">
        <v>196</v>
      </c>
      <c r="E89" s="1">
        <v>105.578</v>
      </c>
      <c r="F89" s="1" t="s">
        <v>33</v>
      </c>
    </row>
    <row r="90" spans="2:6" ht="42.75" x14ac:dyDescent="0.45">
      <c r="B90" s="1" t="s">
        <v>254</v>
      </c>
      <c r="C90" s="1"/>
      <c r="D90" s="1" t="s">
        <v>196</v>
      </c>
      <c r="E90" s="1">
        <v>70.888000000000005</v>
      </c>
      <c r="F90" s="1" t="s">
        <v>33</v>
      </c>
    </row>
    <row r="91" spans="2:6" ht="28.5" x14ac:dyDescent="0.45">
      <c r="B91" s="1" t="s">
        <v>255</v>
      </c>
      <c r="C91" s="1"/>
      <c r="D91" s="1" t="s">
        <v>196</v>
      </c>
      <c r="E91" s="1">
        <v>30.016999999999999</v>
      </c>
      <c r="F91" s="1" t="s">
        <v>33</v>
      </c>
    </row>
    <row r="92" spans="2:6" ht="28.5" x14ac:dyDescent="0.45">
      <c r="B92" s="1" t="s">
        <v>256</v>
      </c>
      <c r="C92" s="1"/>
      <c r="D92" s="1" t="s">
        <v>196</v>
      </c>
      <c r="E92" s="1">
        <v>199.07599999999999</v>
      </c>
      <c r="F92" s="1" t="s">
        <v>33</v>
      </c>
    </row>
    <row r="93" spans="2:6" ht="28.5" x14ac:dyDescent="0.45">
      <c r="B93" s="1" t="s">
        <v>257</v>
      </c>
      <c r="C93" s="1"/>
      <c r="D93" s="1" t="s">
        <v>196</v>
      </c>
      <c r="E93" s="1">
        <v>52.64</v>
      </c>
      <c r="F93" s="1" t="s">
        <v>33</v>
      </c>
    </row>
    <row r="94" spans="2:6" ht="28.5" x14ac:dyDescent="0.45">
      <c r="B94" s="1" t="s">
        <v>258</v>
      </c>
      <c r="C94" s="1"/>
      <c r="D94" s="1" t="s">
        <v>196</v>
      </c>
      <c r="E94" s="1">
        <v>2229.4989999999998</v>
      </c>
      <c r="F94" s="1" t="s">
        <v>33</v>
      </c>
    </row>
    <row r="95" spans="2:6" ht="28.5" x14ac:dyDescent="0.45">
      <c r="B95" s="1" t="s">
        <v>259</v>
      </c>
      <c r="C95" s="1"/>
      <c r="D95" s="1" t="s">
        <v>196</v>
      </c>
      <c r="E95" s="1">
        <v>132.19900000000001</v>
      </c>
      <c r="F95" s="1" t="s">
        <v>33</v>
      </c>
    </row>
    <row r="96" spans="2:6" ht="28.5" x14ac:dyDescent="0.45">
      <c r="B96" s="1" t="s">
        <v>260</v>
      </c>
      <c r="C96" s="1"/>
      <c r="D96" s="1" t="s">
        <v>196</v>
      </c>
      <c r="E96" s="1">
        <v>4509.7089999999998</v>
      </c>
      <c r="F96" s="1" t="s">
        <v>33</v>
      </c>
    </row>
    <row r="97" spans="2:6" ht="28.5" x14ac:dyDescent="0.45">
      <c r="B97" s="1" t="s">
        <v>261</v>
      </c>
      <c r="C97" s="1"/>
      <c r="D97" s="1" t="s">
        <v>196</v>
      </c>
      <c r="E97" s="1">
        <v>85.549000000000007</v>
      </c>
      <c r="F97" s="1" t="s">
        <v>33</v>
      </c>
    </row>
    <row r="98" spans="2:6" ht="57" x14ac:dyDescent="0.45">
      <c r="B98" s="1" t="s">
        <v>361</v>
      </c>
      <c r="C98" s="1"/>
      <c r="D98" s="1" t="s">
        <v>348</v>
      </c>
      <c r="E98" s="1">
        <v>4682.5789999999997</v>
      </c>
      <c r="F98" s="1" t="s">
        <v>33</v>
      </c>
    </row>
    <row r="99" spans="2:6" ht="28.5" x14ac:dyDescent="0.45">
      <c r="B99" s="1" t="s">
        <v>362</v>
      </c>
      <c r="C99" s="1"/>
      <c r="D99" s="1" t="s">
        <v>348</v>
      </c>
      <c r="E99" s="1">
        <v>501.29199999999997</v>
      </c>
      <c r="F99" s="1" t="s">
        <v>33</v>
      </c>
    </row>
    <row r="100" spans="2:6" ht="28.5" x14ac:dyDescent="0.45">
      <c r="B100" s="1" t="s">
        <v>363</v>
      </c>
      <c r="C100" s="1"/>
      <c r="D100" s="1" t="s">
        <v>348</v>
      </c>
      <c r="E100" s="1">
        <v>168.53</v>
      </c>
      <c r="F100" s="1" t="s">
        <v>33</v>
      </c>
    </row>
    <row r="101" spans="2:6" ht="28.5" x14ac:dyDescent="0.45">
      <c r="B101" s="1" t="s">
        <v>364</v>
      </c>
      <c r="C101" s="1"/>
      <c r="D101" s="1" t="s">
        <v>348</v>
      </c>
      <c r="E101" s="1">
        <v>598.58199999999999</v>
      </c>
      <c r="F101" s="1" t="s">
        <v>33</v>
      </c>
    </row>
    <row r="102" spans="2:6" ht="28.5" x14ac:dyDescent="0.45">
      <c r="B102" s="1" t="s">
        <v>365</v>
      </c>
      <c r="C102" s="1"/>
      <c r="D102" s="1" t="s">
        <v>348</v>
      </c>
      <c r="E102" s="1">
        <v>376.44799999999998</v>
      </c>
      <c r="F102" s="1" t="s">
        <v>33</v>
      </c>
    </row>
    <row r="103" spans="2:6" ht="28.5" x14ac:dyDescent="0.45">
      <c r="B103" s="1" t="s">
        <v>366</v>
      </c>
      <c r="C103" s="1"/>
      <c r="D103" s="1" t="s">
        <v>348</v>
      </c>
      <c r="E103" s="1">
        <v>348.22199999999998</v>
      </c>
      <c r="F103" s="1" t="s">
        <v>33</v>
      </c>
    </row>
    <row r="104" spans="2:6" ht="28.5" x14ac:dyDescent="0.45">
      <c r="B104" s="1" t="s">
        <v>367</v>
      </c>
      <c r="C104" s="1"/>
      <c r="D104" s="1" t="s">
        <v>348</v>
      </c>
      <c r="E104" s="1">
        <v>366.04599999999999</v>
      </c>
      <c r="F104" s="1" t="s">
        <v>33</v>
      </c>
    </row>
    <row r="105" spans="2:6" ht="28.5" x14ac:dyDescent="0.45">
      <c r="B105" s="1" t="s">
        <v>368</v>
      </c>
      <c r="C105" s="1"/>
      <c r="D105" s="1" t="s">
        <v>348</v>
      </c>
      <c r="E105" s="1">
        <v>436.03399999999999</v>
      </c>
      <c r="F105" s="1" t="s">
        <v>33</v>
      </c>
    </row>
    <row r="106" spans="2:6" ht="28.5" x14ac:dyDescent="0.45">
      <c r="B106" s="1" t="s">
        <v>369</v>
      </c>
      <c r="C106" s="1"/>
      <c r="D106" s="1" t="s">
        <v>348</v>
      </c>
      <c r="E106" s="1">
        <v>207.77099999999999</v>
      </c>
      <c r="F106" s="1" t="s">
        <v>33</v>
      </c>
    </row>
    <row r="107" spans="2:6" ht="28.5" x14ac:dyDescent="0.45">
      <c r="B107" s="1" t="s">
        <v>370</v>
      </c>
      <c r="C107" s="1"/>
      <c r="D107" s="1" t="s">
        <v>348</v>
      </c>
      <c r="E107" s="1">
        <v>294.35000000000002</v>
      </c>
      <c r="F107" s="1" t="s">
        <v>33</v>
      </c>
    </row>
    <row r="108" spans="2:6" ht="28.5" x14ac:dyDescent="0.45">
      <c r="B108" s="1" t="s">
        <v>371</v>
      </c>
      <c r="C108" s="1"/>
      <c r="D108" s="1" t="s">
        <v>348</v>
      </c>
      <c r="E108" s="1">
        <v>263.18299999999999</v>
      </c>
      <c r="F108" s="1" t="s">
        <v>33</v>
      </c>
    </row>
    <row r="109" spans="2:6" ht="28.5" x14ac:dyDescent="0.45">
      <c r="B109" s="1" t="s">
        <v>372</v>
      </c>
      <c r="C109" s="1"/>
      <c r="D109" s="1" t="s">
        <v>348</v>
      </c>
      <c r="E109" s="1">
        <v>281.75799999999998</v>
      </c>
      <c r="F109" s="1" t="s">
        <v>33</v>
      </c>
    </row>
    <row r="110" spans="2:6" ht="28.5" x14ac:dyDescent="0.45">
      <c r="B110" s="1" t="s">
        <v>373</v>
      </c>
      <c r="C110" s="1"/>
      <c r="D110" s="1" t="s">
        <v>348</v>
      </c>
      <c r="E110" s="1">
        <v>273.58100000000002</v>
      </c>
      <c r="F110" s="1" t="s">
        <v>33</v>
      </c>
    </row>
    <row r="111" spans="2:6" ht="28.5" x14ac:dyDescent="0.45">
      <c r="B111" s="1" t="s">
        <v>374</v>
      </c>
      <c r="C111" s="1"/>
      <c r="D111" s="1" t="s">
        <v>348</v>
      </c>
      <c r="E111" s="1">
        <v>277.36900000000003</v>
      </c>
      <c r="F111" s="1" t="s">
        <v>33</v>
      </c>
    </row>
    <row r="112" spans="2:6" ht="28.5" x14ac:dyDescent="0.45">
      <c r="B112" s="1" t="s">
        <v>375</v>
      </c>
      <c r="C112" s="1"/>
      <c r="D112" s="1" t="s">
        <v>348</v>
      </c>
      <c r="E112" s="1">
        <v>804.72</v>
      </c>
      <c r="F112" s="1" t="s">
        <v>33</v>
      </c>
    </row>
    <row r="113" spans="2:6" ht="28.5" x14ac:dyDescent="0.45">
      <c r="B113" s="1" t="s">
        <v>376</v>
      </c>
      <c r="C113" s="1"/>
      <c r="D113" s="1" t="s">
        <v>348</v>
      </c>
      <c r="E113" s="1">
        <v>253.88399999999999</v>
      </c>
      <c r="F113" s="1" t="s">
        <v>33</v>
      </c>
    </row>
    <row r="114" spans="2:6" ht="28.5" x14ac:dyDescent="0.45">
      <c r="B114" s="1" t="s">
        <v>377</v>
      </c>
      <c r="C114" s="1"/>
      <c r="D114" s="1" t="s">
        <v>348</v>
      </c>
      <c r="E114" s="1">
        <v>321.19400000000002</v>
      </c>
      <c r="F114" s="1" t="s">
        <v>33</v>
      </c>
    </row>
    <row r="115" spans="2:6" ht="28.5" x14ac:dyDescent="0.45">
      <c r="B115" s="1" t="s">
        <v>378</v>
      </c>
      <c r="C115" s="1"/>
      <c r="D115" s="1" t="s">
        <v>348</v>
      </c>
      <c r="E115" s="1">
        <v>371.82900000000001</v>
      </c>
      <c r="F115" s="1" t="s">
        <v>33</v>
      </c>
    </row>
    <row r="116" spans="2:6" ht="28.5" x14ac:dyDescent="0.45">
      <c r="B116" s="1" t="s">
        <v>379</v>
      </c>
      <c r="C116" s="1"/>
      <c r="D116" s="1" t="s">
        <v>348</v>
      </c>
      <c r="E116" s="1">
        <v>200.69399999999999</v>
      </c>
      <c r="F116" s="1" t="s">
        <v>33</v>
      </c>
    </row>
    <row r="117" spans="2:6" ht="28.5" x14ac:dyDescent="0.45">
      <c r="B117" s="1" t="s">
        <v>380</v>
      </c>
      <c r="C117" s="1"/>
      <c r="D117" s="1" t="s">
        <v>348</v>
      </c>
      <c r="E117" s="1">
        <v>263.58499999999998</v>
      </c>
      <c r="F117" s="1" t="s">
        <v>33</v>
      </c>
    </row>
    <row r="118" spans="2:6" ht="28.5" x14ac:dyDescent="0.45">
      <c r="B118" s="1" t="s">
        <v>381</v>
      </c>
      <c r="C118" s="1"/>
      <c r="D118" s="1" t="s">
        <v>348</v>
      </c>
      <c r="E118" s="1">
        <v>711.51800000000003</v>
      </c>
      <c r="F118" s="1" t="s">
        <v>33</v>
      </c>
    </row>
    <row r="119" spans="2:6" ht="28.5" x14ac:dyDescent="0.45">
      <c r="B119" s="1" t="s">
        <v>382</v>
      </c>
      <c r="C119" s="1"/>
      <c r="D119" s="1" t="s">
        <v>348</v>
      </c>
      <c r="E119" s="1">
        <v>265.40899999999999</v>
      </c>
      <c r="F119" s="1" t="s">
        <v>33</v>
      </c>
    </row>
    <row r="120" spans="2:6" ht="28.5" x14ac:dyDescent="0.45">
      <c r="B120" s="1" t="s">
        <v>383</v>
      </c>
      <c r="C120" s="1"/>
      <c r="D120" s="1" t="s">
        <v>348</v>
      </c>
      <c r="E120" s="1">
        <v>234.42</v>
      </c>
      <c r="F120" s="1" t="s">
        <v>33</v>
      </c>
    </row>
    <row r="121" spans="2:6" ht="28.5" x14ac:dyDescent="0.45">
      <c r="B121" s="1" t="s">
        <v>384</v>
      </c>
      <c r="C121" s="1"/>
      <c r="D121" s="1" t="s">
        <v>348</v>
      </c>
      <c r="E121" s="1">
        <v>224.22900000000001</v>
      </c>
      <c r="F121" s="1" t="s">
        <v>33</v>
      </c>
    </row>
    <row r="122" spans="2:6" ht="28.5" x14ac:dyDescent="0.45">
      <c r="B122" s="1" t="s">
        <v>385</v>
      </c>
      <c r="C122" s="1"/>
      <c r="D122" s="1" t="s">
        <v>348</v>
      </c>
      <c r="E122" s="1">
        <v>242.34</v>
      </c>
      <c r="F122" s="1" t="s">
        <v>33</v>
      </c>
    </row>
    <row r="123" spans="2:6" ht="28.5" x14ac:dyDescent="0.45">
      <c r="B123" s="1" t="s">
        <v>386</v>
      </c>
      <c r="C123" s="1"/>
      <c r="D123" s="1" t="s">
        <v>348</v>
      </c>
      <c r="E123" s="1">
        <v>354.47699999999998</v>
      </c>
      <c r="F123" s="1" t="s">
        <v>33</v>
      </c>
    </row>
    <row r="124" spans="2:6" ht="42.75" x14ac:dyDescent="0.45">
      <c r="B124" s="1" t="s">
        <v>387</v>
      </c>
      <c r="C124" s="1"/>
      <c r="D124" s="1" t="s">
        <v>348</v>
      </c>
      <c r="E124" s="1">
        <v>499.95800000000003</v>
      </c>
      <c r="F124" s="1" t="s">
        <v>33</v>
      </c>
    </row>
    <row r="125" spans="2:6" ht="28.5" x14ac:dyDescent="0.45">
      <c r="B125" s="1" t="s">
        <v>388</v>
      </c>
      <c r="C125" s="1"/>
      <c r="D125" s="1" t="s">
        <v>348</v>
      </c>
      <c r="E125" s="1">
        <v>290.02300000000002</v>
      </c>
      <c r="F125" s="1" t="s">
        <v>33</v>
      </c>
    </row>
    <row r="126" spans="2:6" ht="28.5" x14ac:dyDescent="0.45">
      <c r="B126" s="1" t="s">
        <v>389</v>
      </c>
      <c r="C126" s="1"/>
      <c r="D126" s="1" t="s">
        <v>348</v>
      </c>
      <c r="E126" s="1">
        <v>530.79100000000005</v>
      </c>
      <c r="F126" s="1" t="s">
        <v>33</v>
      </c>
    </row>
    <row r="127" spans="2:6" ht="28.5" x14ac:dyDescent="0.45">
      <c r="B127" s="1" t="s">
        <v>390</v>
      </c>
      <c r="C127" s="1"/>
      <c r="D127" s="1" t="s">
        <v>348</v>
      </c>
      <c r="E127" s="1">
        <v>255.82499999999999</v>
      </c>
      <c r="F127" s="1" t="s">
        <v>33</v>
      </c>
    </row>
    <row r="128" spans="2:6" ht="28.5" x14ac:dyDescent="0.45">
      <c r="B128" s="1" t="s">
        <v>391</v>
      </c>
      <c r="C128" s="1"/>
      <c r="D128" s="1" t="s">
        <v>348</v>
      </c>
      <c r="E128" s="1">
        <v>207.56399999999999</v>
      </c>
      <c r="F128" s="1" t="s">
        <v>33</v>
      </c>
    </row>
    <row r="129" spans="2:6" ht="28.5" x14ac:dyDescent="0.45">
      <c r="B129" s="1" t="s">
        <v>392</v>
      </c>
      <c r="C129" s="1"/>
      <c r="D129" s="1" t="s">
        <v>348</v>
      </c>
      <c r="E129" s="1">
        <v>157.279</v>
      </c>
      <c r="F129" s="1" t="s">
        <v>33</v>
      </c>
    </row>
    <row r="130" spans="2:6" ht="28.5" x14ac:dyDescent="0.45">
      <c r="B130" s="1" t="s">
        <v>393</v>
      </c>
      <c r="C130" s="1"/>
      <c r="D130" s="1" t="s">
        <v>348</v>
      </c>
      <c r="E130" s="1">
        <v>172.29599999999999</v>
      </c>
      <c r="F130" s="1" t="s">
        <v>33</v>
      </c>
    </row>
    <row r="131" spans="2:6" ht="28.5" x14ac:dyDescent="0.45">
      <c r="B131" s="1" t="s">
        <v>394</v>
      </c>
      <c r="C131" s="1"/>
      <c r="D131" s="1" t="s">
        <v>348</v>
      </c>
      <c r="E131" s="1">
        <v>332.24200000000002</v>
      </c>
      <c r="F131" s="1" t="s">
        <v>33</v>
      </c>
    </row>
    <row r="132" spans="2:6" ht="28.5" x14ac:dyDescent="0.45">
      <c r="B132" s="1" t="s">
        <v>395</v>
      </c>
      <c r="C132" s="1"/>
      <c r="D132" s="1" t="s">
        <v>348</v>
      </c>
      <c r="E132" s="1">
        <v>113.077</v>
      </c>
      <c r="F132" s="1" t="s">
        <v>33</v>
      </c>
    </row>
    <row r="133" spans="2:6" ht="28.5" x14ac:dyDescent="0.45">
      <c r="B133" s="1" t="s">
        <v>396</v>
      </c>
      <c r="C133" s="1"/>
      <c r="D133" s="1" t="s">
        <v>348</v>
      </c>
      <c r="E133" s="1">
        <v>128.71600000000001</v>
      </c>
      <c r="F133" s="1" t="s">
        <v>33</v>
      </c>
    </row>
    <row r="134" spans="2:6" ht="28.5" x14ac:dyDescent="0.45">
      <c r="B134" s="1" t="s">
        <v>397</v>
      </c>
      <c r="C134" s="1"/>
      <c r="D134" s="1" t="s">
        <v>348</v>
      </c>
      <c r="E134" s="1">
        <v>213.76400000000001</v>
      </c>
      <c r="F134" s="1" t="s">
        <v>33</v>
      </c>
    </row>
    <row r="135" spans="2:6" ht="28.5" x14ac:dyDescent="0.45">
      <c r="B135" s="1" t="s">
        <v>398</v>
      </c>
      <c r="C135" s="1"/>
      <c r="D135" s="1" t="s">
        <v>348</v>
      </c>
      <c r="E135" s="1">
        <v>119.11199999999999</v>
      </c>
      <c r="F135" s="1" t="s">
        <v>33</v>
      </c>
    </row>
    <row r="136" spans="2:6" ht="28.5" x14ac:dyDescent="0.45">
      <c r="B136" s="1" t="s">
        <v>399</v>
      </c>
      <c r="C136" s="1"/>
      <c r="D136" s="1" t="s">
        <v>348</v>
      </c>
      <c r="E136" s="1">
        <v>168.303</v>
      </c>
      <c r="F136" s="1" t="s">
        <v>33</v>
      </c>
    </row>
    <row r="137" spans="2:6" ht="28.5" x14ac:dyDescent="0.45">
      <c r="B137" s="1" t="s">
        <v>400</v>
      </c>
      <c r="C137" s="1"/>
      <c r="D137" s="1" t="s">
        <v>348</v>
      </c>
      <c r="E137" s="1">
        <v>222.934</v>
      </c>
      <c r="F137" s="1" t="s">
        <v>33</v>
      </c>
    </row>
    <row r="138" spans="2:6" ht="28.5" x14ac:dyDescent="0.45">
      <c r="B138" s="1" t="s">
        <v>401</v>
      </c>
      <c r="C138" s="1"/>
      <c r="D138" s="1" t="s">
        <v>348</v>
      </c>
      <c r="E138" s="1">
        <v>288.34100000000001</v>
      </c>
      <c r="F138" s="1" t="s">
        <v>33</v>
      </c>
    </row>
    <row r="139" spans="2:6" ht="28.5" x14ac:dyDescent="0.45">
      <c r="B139" s="1" t="s">
        <v>402</v>
      </c>
      <c r="C139" s="1"/>
      <c r="D139" s="1" t="s">
        <v>348</v>
      </c>
      <c r="E139" s="1">
        <v>269.399</v>
      </c>
      <c r="F139" s="1" t="s">
        <v>33</v>
      </c>
    </row>
    <row r="140" spans="2:6" ht="28.5" x14ac:dyDescent="0.45">
      <c r="B140" s="1" t="s">
        <v>403</v>
      </c>
      <c r="C140" s="1"/>
      <c r="D140" s="1" t="s">
        <v>348</v>
      </c>
      <c r="E140" s="1">
        <v>358.48099999999999</v>
      </c>
      <c r="F140" s="1" t="s">
        <v>33</v>
      </c>
    </row>
    <row r="141" spans="2:6" ht="28.5" x14ac:dyDescent="0.45">
      <c r="B141" s="1" t="s">
        <v>404</v>
      </c>
      <c r="C141" s="1"/>
      <c r="D141" s="1" t="s">
        <v>348</v>
      </c>
      <c r="E141" s="1">
        <v>306.21899999999999</v>
      </c>
      <c r="F141" s="1" t="s">
        <v>33</v>
      </c>
    </row>
    <row r="142" spans="2:6" ht="28.5" x14ac:dyDescent="0.45">
      <c r="B142" s="1" t="s">
        <v>405</v>
      </c>
      <c r="C142" s="1"/>
      <c r="D142" s="1" t="s">
        <v>348</v>
      </c>
      <c r="E142" s="1">
        <v>129.25800000000001</v>
      </c>
      <c r="F142" s="1" t="s">
        <v>33</v>
      </c>
    </row>
    <row r="143" spans="2:6" ht="28.5" x14ac:dyDescent="0.45">
      <c r="B143" s="1" t="s">
        <v>406</v>
      </c>
      <c r="C143" s="1"/>
      <c r="D143" s="1" t="s">
        <v>348</v>
      </c>
      <c r="E143" s="1">
        <v>598.40700000000004</v>
      </c>
      <c r="F143" s="1" t="s">
        <v>33</v>
      </c>
    </row>
    <row r="144" spans="2:6" ht="28.5" x14ac:dyDescent="0.45">
      <c r="B144" s="1" t="s">
        <v>407</v>
      </c>
      <c r="C144" s="1"/>
      <c r="D144" s="1" t="s">
        <v>348</v>
      </c>
      <c r="E144" s="1">
        <v>324.16800000000001</v>
      </c>
      <c r="F144" s="1" t="s">
        <v>33</v>
      </c>
    </row>
    <row r="145" spans="2:6" ht="28.5" x14ac:dyDescent="0.45">
      <c r="B145" s="1" t="s">
        <v>408</v>
      </c>
      <c r="C145" s="1"/>
      <c r="D145" s="1" t="s">
        <v>348</v>
      </c>
      <c r="E145" s="1">
        <v>292.95299999999997</v>
      </c>
      <c r="F145" s="1" t="s">
        <v>33</v>
      </c>
    </row>
    <row r="146" spans="2:6" ht="57" x14ac:dyDescent="0.45">
      <c r="B146" s="1" t="s">
        <v>409</v>
      </c>
      <c r="C146" s="1"/>
      <c r="D146" s="1" t="s">
        <v>348</v>
      </c>
      <c r="E146" s="1">
        <v>1799.5170000000001</v>
      </c>
      <c r="F146" s="1" t="s">
        <v>33</v>
      </c>
    </row>
    <row r="147" spans="2:6" ht="28.5" x14ac:dyDescent="0.45">
      <c r="B147" s="1" t="s">
        <v>410</v>
      </c>
      <c r="C147" s="1"/>
      <c r="D147" s="1" t="s">
        <v>348</v>
      </c>
      <c r="E147" s="1">
        <v>412.95699999999999</v>
      </c>
      <c r="F147" s="1" t="s">
        <v>33</v>
      </c>
    </row>
    <row r="148" spans="2:6" ht="28.5" x14ac:dyDescent="0.45">
      <c r="B148" s="1" t="s">
        <v>411</v>
      </c>
      <c r="C148" s="1"/>
      <c r="D148" s="1" t="s">
        <v>348</v>
      </c>
      <c r="E148" s="1">
        <v>558.52800000000002</v>
      </c>
      <c r="F148" s="1" t="s">
        <v>33</v>
      </c>
    </row>
    <row r="149" spans="2:6" ht="28.5" x14ac:dyDescent="0.45">
      <c r="B149" s="1" t="s">
        <v>412</v>
      </c>
      <c r="C149" s="1"/>
      <c r="D149" s="1" t="s">
        <v>348</v>
      </c>
      <c r="E149" s="1">
        <v>418.11700000000002</v>
      </c>
      <c r="F149" s="1" t="s">
        <v>33</v>
      </c>
    </row>
    <row r="150" spans="2:6" ht="28.5" x14ac:dyDescent="0.45">
      <c r="B150" s="1" t="s">
        <v>413</v>
      </c>
      <c r="C150" s="1"/>
      <c r="D150" s="1" t="s">
        <v>348</v>
      </c>
      <c r="E150" s="1">
        <v>113.357</v>
      </c>
      <c r="F150" s="1" t="s">
        <v>33</v>
      </c>
    </row>
    <row r="151" spans="2:6" ht="28.5" x14ac:dyDescent="0.45">
      <c r="B151" s="1" t="s">
        <v>414</v>
      </c>
      <c r="C151" s="1"/>
      <c r="D151" s="1" t="s">
        <v>348</v>
      </c>
      <c r="E151" s="1">
        <v>259.2</v>
      </c>
      <c r="F151" s="1" t="s">
        <v>33</v>
      </c>
    </row>
    <row r="152" spans="2:6" ht="28.5" x14ac:dyDescent="0.45">
      <c r="B152" s="1" t="s">
        <v>415</v>
      </c>
      <c r="C152" s="1"/>
      <c r="D152" s="1" t="s">
        <v>348</v>
      </c>
      <c r="E152" s="1">
        <v>313.22399999999999</v>
      </c>
      <c r="F152" s="1" t="s">
        <v>33</v>
      </c>
    </row>
    <row r="153" spans="2:6" ht="28.5" x14ac:dyDescent="0.45">
      <c r="B153" s="1" t="s">
        <v>416</v>
      </c>
      <c r="C153" s="1"/>
      <c r="D153" s="1" t="s">
        <v>348</v>
      </c>
      <c r="E153" s="1">
        <v>230.08600000000001</v>
      </c>
      <c r="F153" s="1" t="s">
        <v>33</v>
      </c>
    </row>
    <row r="154" spans="2:6" ht="57" x14ac:dyDescent="0.45">
      <c r="B154" s="1" t="s">
        <v>417</v>
      </c>
      <c r="C154" s="1"/>
      <c r="D154" s="1" t="s">
        <v>348</v>
      </c>
      <c r="E154" s="1">
        <v>979.03599999999994</v>
      </c>
      <c r="F154" s="1" t="s">
        <v>33</v>
      </c>
    </row>
    <row r="155" spans="2:6" ht="28.5" x14ac:dyDescent="0.45">
      <c r="B155" s="1" t="s">
        <v>262</v>
      </c>
      <c r="C155" s="1"/>
      <c r="D155" s="1" t="s">
        <v>196</v>
      </c>
      <c r="E155" s="1">
        <v>203.60400000000001</v>
      </c>
      <c r="F155" s="1" t="s">
        <v>91</v>
      </c>
    </row>
    <row r="156" spans="2:6" ht="28.5" x14ac:dyDescent="0.45">
      <c r="B156" s="1" t="s">
        <v>263</v>
      </c>
      <c r="C156" s="1"/>
      <c r="D156" s="1" t="s">
        <v>196</v>
      </c>
      <c r="E156" s="1">
        <v>1415.05</v>
      </c>
      <c r="F156" s="1" t="s">
        <v>91</v>
      </c>
    </row>
    <row r="157" spans="2:6" ht="28.5" x14ac:dyDescent="0.45">
      <c r="B157" s="1" t="s">
        <v>264</v>
      </c>
      <c r="C157" s="1"/>
      <c r="D157" s="1" t="s">
        <v>196</v>
      </c>
      <c r="E157" s="1">
        <v>798.22699999999998</v>
      </c>
      <c r="F157" s="1" t="s">
        <v>91</v>
      </c>
    </row>
    <row r="158" spans="2:6" ht="28.5" x14ac:dyDescent="0.45">
      <c r="B158" s="1" t="s">
        <v>418</v>
      </c>
      <c r="C158" s="1"/>
      <c r="D158" s="1" t="s">
        <v>348</v>
      </c>
      <c r="E158" s="1">
        <v>1487.4010000000001</v>
      </c>
      <c r="F158" s="1" t="s">
        <v>91</v>
      </c>
    </row>
    <row r="159" spans="2:6" ht="28.5" x14ac:dyDescent="0.45">
      <c r="B159" s="1" t="s">
        <v>419</v>
      </c>
      <c r="C159" s="1"/>
      <c r="D159" s="1" t="s">
        <v>348</v>
      </c>
      <c r="E159" s="1">
        <v>208.31200000000001</v>
      </c>
      <c r="F159" s="1" t="s">
        <v>91</v>
      </c>
    </row>
    <row r="160" spans="2:6" ht="28.5" x14ac:dyDescent="0.45">
      <c r="B160" s="1" t="s">
        <v>420</v>
      </c>
      <c r="C160" s="1"/>
      <c r="D160" s="1" t="s">
        <v>348</v>
      </c>
      <c r="E160" s="1">
        <v>147.89699999999999</v>
      </c>
      <c r="F160" s="1" t="s">
        <v>91</v>
      </c>
    </row>
    <row r="161" spans="2:6" ht="28.5" x14ac:dyDescent="0.45">
      <c r="B161" s="1" t="s">
        <v>421</v>
      </c>
      <c r="C161" s="1"/>
      <c r="D161" s="1" t="s">
        <v>348</v>
      </c>
      <c r="E161" s="1">
        <v>196.45400000000001</v>
      </c>
      <c r="F161" s="1" t="s">
        <v>91</v>
      </c>
    </row>
    <row r="162" spans="2:6" ht="28.5" x14ac:dyDescent="0.45">
      <c r="B162" s="1" t="s">
        <v>265</v>
      </c>
      <c r="C162" s="1"/>
      <c r="D162" s="1" t="s">
        <v>196</v>
      </c>
      <c r="E162" s="1">
        <v>271.077</v>
      </c>
      <c r="F162" s="1" t="s">
        <v>96</v>
      </c>
    </row>
    <row r="163" spans="2:6" ht="28.5" x14ac:dyDescent="0.45">
      <c r="B163" s="1" t="s">
        <v>266</v>
      </c>
      <c r="C163" s="1"/>
      <c r="D163" s="1" t="s">
        <v>196</v>
      </c>
      <c r="E163" s="1">
        <v>137.54300000000001</v>
      </c>
      <c r="F163" s="1" t="s">
        <v>96</v>
      </c>
    </row>
    <row r="164" spans="2:6" ht="28.5" x14ac:dyDescent="0.45">
      <c r="B164" s="1" t="s">
        <v>267</v>
      </c>
      <c r="C164" s="1"/>
      <c r="D164" s="1" t="s">
        <v>196</v>
      </c>
      <c r="E164" s="1">
        <v>177.19300000000001</v>
      </c>
      <c r="F164" s="1" t="s">
        <v>96</v>
      </c>
    </row>
    <row r="165" spans="2:6" ht="28.5" x14ac:dyDescent="0.45">
      <c r="B165" s="1" t="s">
        <v>268</v>
      </c>
      <c r="C165" s="1"/>
      <c r="D165" s="1" t="s">
        <v>196</v>
      </c>
      <c r="E165" s="1">
        <v>77.16</v>
      </c>
      <c r="F165" s="1" t="s">
        <v>96</v>
      </c>
    </row>
    <row r="166" spans="2:6" ht="28.5" x14ac:dyDescent="0.45">
      <c r="B166" s="1" t="s">
        <v>269</v>
      </c>
      <c r="C166" s="1"/>
      <c r="D166" s="1" t="s">
        <v>196</v>
      </c>
      <c r="E166" s="1">
        <v>83.325999999999993</v>
      </c>
      <c r="F166" s="1" t="s">
        <v>96</v>
      </c>
    </row>
    <row r="167" spans="2:6" ht="28.5" x14ac:dyDescent="0.45">
      <c r="B167" s="1" t="s">
        <v>270</v>
      </c>
      <c r="C167" s="1"/>
      <c r="D167" s="1" t="s">
        <v>196</v>
      </c>
      <c r="E167" s="1">
        <v>660.98599999999999</v>
      </c>
      <c r="F167" s="1" t="s">
        <v>96</v>
      </c>
    </row>
    <row r="168" spans="2:6" ht="28.5" x14ac:dyDescent="0.45">
      <c r="B168" s="1" t="s">
        <v>271</v>
      </c>
      <c r="C168" s="1"/>
      <c r="D168" s="1" t="s">
        <v>196</v>
      </c>
      <c r="E168" s="1">
        <v>81.921000000000006</v>
      </c>
      <c r="F168" s="1" t="s">
        <v>96</v>
      </c>
    </row>
    <row r="169" spans="2:6" ht="28.5" x14ac:dyDescent="0.45">
      <c r="B169" s="1" t="s">
        <v>272</v>
      </c>
      <c r="C169" s="1"/>
      <c r="D169" s="1" t="s">
        <v>196</v>
      </c>
      <c r="E169" s="1">
        <v>262.64499999999998</v>
      </c>
      <c r="F169" s="1" t="s">
        <v>96</v>
      </c>
    </row>
    <row r="170" spans="2:6" ht="28.5" x14ac:dyDescent="0.45">
      <c r="B170" s="1" t="s">
        <v>273</v>
      </c>
      <c r="C170" s="1"/>
      <c r="D170" s="1" t="s">
        <v>196</v>
      </c>
      <c r="E170" s="1">
        <v>83.683999999999997</v>
      </c>
      <c r="F170" s="1" t="s">
        <v>96</v>
      </c>
    </row>
    <row r="171" spans="2:6" ht="28.5" x14ac:dyDescent="0.45">
      <c r="B171" s="1" t="s">
        <v>274</v>
      </c>
      <c r="C171" s="1"/>
      <c r="D171" s="1" t="s">
        <v>196</v>
      </c>
      <c r="E171" s="1">
        <v>47.993000000000002</v>
      </c>
      <c r="F171" s="1" t="s">
        <v>96</v>
      </c>
    </row>
    <row r="172" spans="2:6" ht="28.5" x14ac:dyDescent="0.45">
      <c r="B172" s="1" t="s">
        <v>275</v>
      </c>
      <c r="C172" s="1"/>
      <c r="D172" s="1" t="s">
        <v>196</v>
      </c>
      <c r="E172" s="1">
        <v>139.572</v>
      </c>
      <c r="F172" s="1" t="s">
        <v>96</v>
      </c>
    </row>
    <row r="173" spans="2:6" ht="28.5" x14ac:dyDescent="0.45">
      <c r="B173" s="1" t="s">
        <v>276</v>
      </c>
      <c r="C173" s="1"/>
      <c r="D173" s="1" t="s">
        <v>196</v>
      </c>
      <c r="E173" s="1">
        <v>78.632000000000005</v>
      </c>
      <c r="F173" s="1" t="s">
        <v>96</v>
      </c>
    </row>
    <row r="174" spans="2:6" ht="28.5" x14ac:dyDescent="0.45">
      <c r="B174" s="1" t="s">
        <v>277</v>
      </c>
      <c r="C174" s="1"/>
      <c r="D174" s="1" t="s">
        <v>196</v>
      </c>
      <c r="E174" s="1">
        <v>82.021000000000001</v>
      </c>
      <c r="F174" s="1" t="s">
        <v>96</v>
      </c>
    </row>
    <row r="175" spans="2:6" ht="28.5" x14ac:dyDescent="0.45">
      <c r="B175" s="1" t="s">
        <v>278</v>
      </c>
      <c r="C175" s="1"/>
      <c r="D175" s="1" t="s">
        <v>196</v>
      </c>
      <c r="E175" s="1">
        <v>330.98</v>
      </c>
      <c r="F175" s="1" t="s">
        <v>96</v>
      </c>
    </row>
    <row r="176" spans="2:6" ht="28.5" x14ac:dyDescent="0.45">
      <c r="B176" s="1" t="s">
        <v>279</v>
      </c>
      <c r="C176" s="1"/>
      <c r="D176" s="1" t="s">
        <v>196</v>
      </c>
      <c r="E176" s="1">
        <v>163.565</v>
      </c>
      <c r="F176" s="1" t="s">
        <v>96</v>
      </c>
    </row>
    <row r="177" spans="2:6" ht="28.5" x14ac:dyDescent="0.45">
      <c r="B177" s="1" t="s">
        <v>280</v>
      </c>
      <c r="C177" s="1"/>
      <c r="D177" s="1" t="s">
        <v>196</v>
      </c>
      <c r="E177" s="1">
        <v>526.94899999999996</v>
      </c>
      <c r="F177" s="1" t="s">
        <v>96</v>
      </c>
    </row>
    <row r="178" spans="2:6" ht="28.5" x14ac:dyDescent="0.45">
      <c r="B178" s="1" t="s">
        <v>281</v>
      </c>
      <c r="C178" s="1"/>
      <c r="D178" s="1" t="s">
        <v>196</v>
      </c>
      <c r="E178" s="1">
        <v>58.793999999999997</v>
      </c>
      <c r="F178" s="1" t="s">
        <v>96</v>
      </c>
    </row>
    <row r="179" spans="2:6" ht="71.25" x14ac:dyDescent="0.45">
      <c r="B179" s="1" t="s">
        <v>282</v>
      </c>
      <c r="C179" s="1"/>
      <c r="D179" s="1" t="s">
        <v>196</v>
      </c>
      <c r="E179" s="1">
        <v>928.10299999999995</v>
      </c>
      <c r="F179" s="1" t="s">
        <v>96</v>
      </c>
    </row>
    <row r="180" spans="2:6" ht="28.5" x14ac:dyDescent="0.45">
      <c r="B180" s="1" t="s">
        <v>283</v>
      </c>
      <c r="C180" s="1"/>
      <c r="D180" s="1" t="s">
        <v>196</v>
      </c>
      <c r="E180" s="1">
        <v>107.675</v>
      </c>
      <c r="F180" s="1" t="s">
        <v>96</v>
      </c>
    </row>
    <row r="181" spans="2:6" ht="28.5" x14ac:dyDescent="0.45">
      <c r="B181" s="1" t="s">
        <v>284</v>
      </c>
      <c r="C181" s="1"/>
      <c r="D181" s="1" t="s">
        <v>196</v>
      </c>
      <c r="E181" s="1">
        <v>147.90100000000001</v>
      </c>
      <c r="F181" s="1" t="s">
        <v>96</v>
      </c>
    </row>
    <row r="182" spans="2:6" ht="28.5" x14ac:dyDescent="0.45">
      <c r="B182" s="1" t="s">
        <v>285</v>
      </c>
      <c r="C182" s="1"/>
      <c r="D182" s="1" t="s">
        <v>196</v>
      </c>
      <c r="E182" s="1">
        <v>946.45</v>
      </c>
      <c r="F182" s="1" t="s">
        <v>96</v>
      </c>
    </row>
    <row r="183" spans="2:6" ht="28.5" x14ac:dyDescent="0.45">
      <c r="B183" s="1" t="s">
        <v>286</v>
      </c>
      <c r="C183" s="1"/>
      <c r="D183" s="1" t="s">
        <v>196</v>
      </c>
      <c r="E183" s="1">
        <v>177.05799999999999</v>
      </c>
      <c r="F183" s="1" t="s">
        <v>96</v>
      </c>
    </row>
    <row r="184" spans="2:6" ht="28.5" x14ac:dyDescent="0.45">
      <c r="B184" s="1" t="s">
        <v>287</v>
      </c>
      <c r="C184" s="1"/>
      <c r="D184" s="1" t="s">
        <v>196</v>
      </c>
      <c r="E184" s="1">
        <v>305.15899999999999</v>
      </c>
      <c r="F184" s="1" t="s">
        <v>96</v>
      </c>
    </row>
    <row r="185" spans="2:6" ht="28.5" x14ac:dyDescent="0.45">
      <c r="B185" s="1" t="s">
        <v>288</v>
      </c>
      <c r="C185" s="1"/>
      <c r="D185" s="1" t="s">
        <v>196</v>
      </c>
      <c r="E185" s="1">
        <v>295.21699999999998</v>
      </c>
      <c r="F185" s="1" t="s">
        <v>96</v>
      </c>
    </row>
    <row r="186" spans="2:6" ht="28.5" x14ac:dyDescent="0.45">
      <c r="B186" s="1" t="s">
        <v>289</v>
      </c>
      <c r="C186" s="1"/>
      <c r="D186" s="1" t="s">
        <v>196</v>
      </c>
      <c r="E186" s="1">
        <v>149.524</v>
      </c>
      <c r="F186" s="1" t="s">
        <v>96</v>
      </c>
    </row>
    <row r="187" spans="2:6" ht="28.5" x14ac:dyDescent="0.45">
      <c r="B187" s="1" t="s">
        <v>290</v>
      </c>
      <c r="C187" s="1"/>
      <c r="D187" s="1" t="s">
        <v>196</v>
      </c>
      <c r="E187" s="1">
        <v>333.32299999999998</v>
      </c>
      <c r="F187" s="1" t="s">
        <v>96</v>
      </c>
    </row>
    <row r="188" spans="2:6" ht="28.5" x14ac:dyDescent="0.45">
      <c r="B188" s="1" t="s">
        <v>291</v>
      </c>
      <c r="C188" s="1"/>
      <c r="D188" s="1" t="s">
        <v>196</v>
      </c>
      <c r="E188" s="1">
        <v>327.18299999999999</v>
      </c>
      <c r="F188" s="1" t="s">
        <v>96</v>
      </c>
    </row>
    <row r="189" spans="2:6" ht="28.5" x14ac:dyDescent="0.45">
      <c r="B189" s="1" t="s">
        <v>292</v>
      </c>
      <c r="C189" s="1"/>
      <c r="D189" s="1" t="s">
        <v>196</v>
      </c>
      <c r="E189" s="1">
        <v>226.619</v>
      </c>
      <c r="F189" s="1" t="s">
        <v>96</v>
      </c>
    </row>
    <row r="190" spans="2:6" ht="28.5" x14ac:dyDescent="0.45">
      <c r="B190" s="1" t="s">
        <v>293</v>
      </c>
      <c r="C190" s="1"/>
      <c r="D190" s="1" t="s">
        <v>196</v>
      </c>
      <c r="E190" s="1">
        <v>238.03100000000001</v>
      </c>
      <c r="F190" s="1" t="s">
        <v>96</v>
      </c>
    </row>
    <row r="191" spans="2:6" ht="42.75" x14ac:dyDescent="0.45">
      <c r="B191" s="1" t="s">
        <v>422</v>
      </c>
      <c r="C191" s="1"/>
      <c r="D191" s="1" t="s">
        <v>348</v>
      </c>
      <c r="E191" s="1">
        <v>628.96500000000003</v>
      </c>
      <c r="F191" s="1" t="s">
        <v>96</v>
      </c>
    </row>
    <row r="192" spans="2:6" ht="28.5" x14ac:dyDescent="0.45">
      <c r="B192" s="1" t="s">
        <v>423</v>
      </c>
      <c r="C192" s="1"/>
      <c r="D192" s="1" t="s">
        <v>348</v>
      </c>
      <c r="E192" s="1">
        <v>349.04500000000002</v>
      </c>
      <c r="F192" s="1" t="s">
        <v>96</v>
      </c>
    </row>
    <row r="193" spans="2:6" ht="28.5" x14ac:dyDescent="0.45">
      <c r="B193" s="1" t="s">
        <v>424</v>
      </c>
      <c r="C193" s="1"/>
      <c r="D193" s="1" t="s">
        <v>348</v>
      </c>
      <c r="E193" s="1">
        <v>276.904</v>
      </c>
      <c r="F193" s="1" t="s">
        <v>96</v>
      </c>
    </row>
    <row r="194" spans="2:6" ht="28.5" x14ac:dyDescent="0.45">
      <c r="B194" s="1" t="s">
        <v>425</v>
      </c>
      <c r="C194" s="1"/>
      <c r="D194" s="1" t="s">
        <v>348</v>
      </c>
      <c r="E194" s="1">
        <v>120.221</v>
      </c>
      <c r="F194" s="1" t="s">
        <v>96</v>
      </c>
    </row>
    <row r="195" spans="2:6" ht="28.5" x14ac:dyDescent="0.45">
      <c r="B195" s="1" t="s">
        <v>426</v>
      </c>
      <c r="C195" s="1"/>
      <c r="D195" s="1" t="s">
        <v>348</v>
      </c>
      <c r="E195" s="1">
        <v>263.56799999999998</v>
      </c>
      <c r="F195" s="1" t="s">
        <v>96</v>
      </c>
    </row>
    <row r="196" spans="2:6" ht="28.5" x14ac:dyDescent="0.45">
      <c r="B196" s="1" t="s">
        <v>427</v>
      </c>
      <c r="C196" s="1"/>
      <c r="D196" s="1" t="s">
        <v>348</v>
      </c>
      <c r="E196" s="1">
        <v>227.29</v>
      </c>
      <c r="F196" s="1" t="s">
        <v>96</v>
      </c>
    </row>
    <row r="197" spans="2:6" ht="28.5" x14ac:dyDescent="0.45">
      <c r="B197" s="1" t="s">
        <v>428</v>
      </c>
      <c r="C197" s="1"/>
      <c r="D197" s="1" t="s">
        <v>348</v>
      </c>
      <c r="E197" s="1">
        <v>180.48400000000001</v>
      </c>
      <c r="F197" s="1" t="s">
        <v>96</v>
      </c>
    </row>
    <row r="198" spans="2:6" ht="28.5" x14ac:dyDescent="0.45">
      <c r="B198" s="1" t="s">
        <v>429</v>
      </c>
      <c r="C198" s="1"/>
      <c r="D198" s="1" t="s">
        <v>348</v>
      </c>
      <c r="E198" s="1">
        <v>169.518</v>
      </c>
      <c r="F198" s="1" t="s">
        <v>96</v>
      </c>
    </row>
    <row r="199" spans="2:6" ht="28.5" x14ac:dyDescent="0.45">
      <c r="B199" s="1" t="s">
        <v>430</v>
      </c>
      <c r="C199" s="1"/>
      <c r="D199" s="1" t="s">
        <v>348</v>
      </c>
      <c r="E199" s="1">
        <v>167.36099999999999</v>
      </c>
      <c r="F199" s="1" t="s">
        <v>96</v>
      </c>
    </row>
    <row r="200" spans="2:6" ht="28.5" x14ac:dyDescent="0.45">
      <c r="B200" s="1" t="s">
        <v>431</v>
      </c>
      <c r="C200" s="1"/>
      <c r="D200" s="1" t="s">
        <v>348</v>
      </c>
      <c r="E200" s="1">
        <v>199.154</v>
      </c>
      <c r="F200" s="1" t="s">
        <v>96</v>
      </c>
    </row>
    <row r="201" spans="2:6" ht="28.5" x14ac:dyDescent="0.45">
      <c r="B201" s="1" t="s">
        <v>432</v>
      </c>
      <c r="C201" s="1"/>
      <c r="D201" s="1" t="s">
        <v>348</v>
      </c>
      <c r="E201" s="1">
        <v>217.62100000000001</v>
      </c>
      <c r="F201" s="1" t="s">
        <v>96</v>
      </c>
    </row>
    <row r="202" spans="2:6" ht="28.5" x14ac:dyDescent="0.45">
      <c r="B202" s="1" t="s">
        <v>433</v>
      </c>
      <c r="C202" s="1"/>
      <c r="D202" s="1" t="s">
        <v>348</v>
      </c>
      <c r="E202" s="1">
        <v>553.47900000000004</v>
      </c>
      <c r="F202" s="1" t="s">
        <v>96</v>
      </c>
    </row>
    <row r="203" spans="2:6" ht="28.5" x14ac:dyDescent="0.45">
      <c r="B203" s="1" t="s">
        <v>434</v>
      </c>
      <c r="C203" s="1"/>
      <c r="D203" s="1" t="s">
        <v>348</v>
      </c>
      <c r="E203" s="1">
        <v>188.70699999999999</v>
      </c>
      <c r="F203" s="1" t="s">
        <v>96</v>
      </c>
    </row>
    <row r="204" spans="2:6" ht="28.5" x14ac:dyDescent="0.45">
      <c r="B204" s="1" t="s">
        <v>435</v>
      </c>
      <c r="C204" s="1"/>
      <c r="D204" s="1" t="s">
        <v>348</v>
      </c>
      <c r="E204" s="1">
        <v>441.75200000000001</v>
      </c>
      <c r="F204" s="1" t="s">
        <v>96</v>
      </c>
    </row>
    <row r="205" spans="2:6" ht="28.5" x14ac:dyDescent="0.45">
      <c r="B205" s="1" t="s">
        <v>436</v>
      </c>
      <c r="C205" s="1"/>
      <c r="D205" s="1" t="s">
        <v>348</v>
      </c>
      <c r="E205" s="1">
        <v>240.358</v>
      </c>
      <c r="F205" s="1" t="s">
        <v>96</v>
      </c>
    </row>
    <row r="206" spans="2:6" ht="28.5" x14ac:dyDescent="0.45">
      <c r="B206" s="1" t="s">
        <v>437</v>
      </c>
      <c r="C206" s="1"/>
      <c r="D206" s="1" t="s">
        <v>348</v>
      </c>
      <c r="E206" s="1">
        <v>108.536</v>
      </c>
      <c r="F206" s="1" t="s">
        <v>96</v>
      </c>
    </row>
    <row r="207" spans="2:6" ht="28.5" x14ac:dyDescent="0.45">
      <c r="B207" s="1" t="s">
        <v>438</v>
      </c>
      <c r="C207" s="1"/>
      <c r="D207" s="1" t="s">
        <v>348</v>
      </c>
      <c r="E207" s="1">
        <v>450.22899999999998</v>
      </c>
      <c r="F207" s="1" t="s">
        <v>96</v>
      </c>
    </row>
    <row r="208" spans="2:6" ht="28.5" x14ac:dyDescent="0.45">
      <c r="B208" s="1" t="s">
        <v>439</v>
      </c>
      <c r="C208" s="1"/>
      <c r="D208" s="1" t="s">
        <v>348</v>
      </c>
      <c r="E208" s="1">
        <v>428.637</v>
      </c>
      <c r="F208" s="1" t="s">
        <v>96</v>
      </c>
    </row>
    <row r="209" spans="2:6" ht="85.5" x14ac:dyDescent="0.45">
      <c r="B209" s="1" t="s">
        <v>440</v>
      </c>
      <c r="C209" s="1"/>
      <c r="D209" s="1" t="s">
        <v>348</v>
      </c>
      <c r="E209" s="1">
        <v>1281.79</v>
      </c>
      <c r="F209" s="1" t="s">
        <v>96</v>
      </c>
    </row>
    <row r="210" spans="2:6" ht="28.5" x14ac:dyDescent="0.45">
      <c r="B210" s="1" t="s">
        <v>441</v>
      </c>
      <c r="C210" s="1"/>
      <c r="D210" s="1" t="s">
        <v>348</v>
      </c>
      <c r="E210" s="1">
        <v>462.15800000000002</v>
      </c>
      <c r="F210" s="1" t="s">
        <v>96</v>
      </c>
    </row>
    <row r="211" spans="2:6" ht="28.5" x14ac:dyDescent="0.45">
      <c r="B211" s="1" t="s">
        <v>442</v>
      </c>
      <c r="C211" s="1"/>
      <c r="D211" s="1" t="s">
        <v>348</v>
      </c>
      <c r="E211" s="1">
        <v>263.05900000000003</v>
      </c>
      <c r="F211" s="1" t="s">
        <v>96</v>
      </c>
    </row>
    <row r="212" spans="2:6" ht="42.75" x14ac:dyDescent="0.45">
      <c r="B212" s="1" t="s">
        <v>443</v>
      </c>
      <c r="C212" s="1"/>
      <c r="D212" s="1" t="s">
        <v>348</v>
      </c>
      <c r="E212" s="1">
        <v>691.673</v>
      </c>
      <c r="F212" s="1" t="s">
        <v>96</v>
      </c>
    </row>
    <row r="213" spans="2:6" ht="28.5" x14ac:dyDescent="0.45">
      <c r="B213" s="1" t="s">
        <v>444</v>
      </c>
      <c r="C213" s="1"/>
      <c r="D213" s="1" t="s">
        <v>348</v>
      </c>
      <c r="E213" s="1">
        <v>257.83</v>
      </c>
      <c r="F213" s="1" t="s">
        <v>96</v>
      </c>
    </row>
    <row r="214" spans="2:6" ht="28.5" x14ac:dyDescent="0.45">
      <c r="B214" s="1" t="s">
        <v>445</v>
      </c>
      <c r="C214" s="1"/>
      <c r="D214" s="1" t="s">
        <v>348</v>
      </c>
      <c r="E214" s="1">
        <v>121.495</v>
      </c>
      <c r="F214" s="1" t="s">
        <v>96</v>
      </c>
    </row>
    <row r="215" spans="2:6" ht="28.5" x14ac:dyDescent="0.45">
      <c r="B215" s="1" t="s">
        <v>446</v>
      </c>
      <c r="C215" s="1"/>
      <c r="D215" s="1" t="s">
        <v>348</v>
      </c>
      <c r="E215" s="1">
        <v>287.447</v>
      </c>
      <c r="F215" s="1" t="s">
        <v>96</v>
      </c>
    </row>
    <row r="216" spans="2:6" ht="28.5" x14ac:dyDescent="0.45">
      <c r="B216" s="1" t="s">
        <v>447</v>
      </c>
      <c r="C216" s="1"/>
      <c r="D216" s="1" t="s">
        <v>348</v>
      </c>
      <c r="E216" s="1">
        <v>316.959</v>
      </c>
      <c r="F216" s="1" t="s">
        <v>96</v>
      </c>
    </row>
    <row r="217" spans="2:6" ht="28.5" x14ac:dyDescent="0.45">
      <c r="B217" s="1" t="s">
        <v>448</v>
      </c>
      <c r="C217" s="1"/>
      <c r="D217" s="1" t="s">
        <v>348</v>
      </c>
      <c r="E217" s="1">
        <v>746.91700000000003</v>
      </c>
      <c r="F217" s="1" t="s">
        <v>96</v>
      </c>
    </row>
    <row r="218" spans="2:6" ht="28.5" x14ac:dyDescent="0.45">
      <c r="B218" s="1" t="s">
        <v>449</v>
      </c>
      <c r="C218" s="1"/>
      <c r="D218" s="1" t="s">
        <v>348</v>
      </c>
      <c r="E218" s="1">
        <v>242.06299999999999</v>
      </c>
      <c r="F218" s="1" t="s">
        <v>96</v>
      </c>
    </row>
    <row r="219" spans="2:6" ht="28.5" x14ac:dyDescent="0.45">
      <c r="B219" s="1" t="s">
        <v>450</v>
      </c>
      <c r="C219" s="1"/>
      <c r="D219" s="1" t="s">
        <v>348</v>
      </c>
      <c r="E219" s="1">
        <v>226.34700000000001</v>
      </c>
      <c r="F219" s="1" t="s">
        <v>96</v>
      </c>
    </row>
    <row r="220" spans="2:6" ht="28.5" x14ac:dyDescent="0.45">
      <c r="B220" s="1" t="s">
        <v>451</v>
      </c>
      <c r="C220" s="1"/>
      <c r="D220" s="1" t="s">
        <v>348</v>
      </c>
      <c r="E220" s="1">
        <v>154.245</v>
      </c>
      <c r="F220" s="1" t="s">
        <v>96</v>
      </c>
    </row>
    <row r="221" spans="2:6" ht="28.5" x14ac:dyDescent="0.45">
      <c r="B221" s="1" t="s">
        <v>510</v>
      </c>
      <c r="C221" s="1"/>
      <c r="D221" s="1" t="s">
        <v>348</v>
      </c>
      <c r="E221" s="1">
        <v>944.976</v>
      </c>
      <c r="F221" s="1" t="s">
        <v>96</v>
      </c>
    </row>
    <row r="222" spans="2:6" ht="28.5" x14ac:dyDescent="0.45">
      <c r="B222" s="1" t="s">
        <v>294</v>
      </c>
      <c r="C222" s="1"/>
      <c r="D222" s="1" t="s">
        <v>196</v>
      </c>
      <c r="E222" s="1">
        <v>362.21100000000001</v>
      </c>
      <c r="F222" s="1" t="s">
        <v>128</v>
      </c>
    </row>
    <row r="223" spans="2:6" ht="28.5" x14ac:dyDescent="0.45">
      <c r="B223" s="1" t="s">
        <v>452</v>
      </c>
      <c r="C223" s="1"/>
      <c r="D223" s="1" t="s">
        <v>348</v>
      </c>
      <c r="E223" s="1">
        <v>2529.58</v>
      </c>
      <c r="F223" s="1" t="s">
        <v>128</v>
      </c>
    </row>
    <row r="224" spans="2:6" ht="85.5" x14ac:dyDescent="0.45">
      <c r="B224" s="1" t="s">
        <v>453</v>
      </c>
      <c r="C224" s="1"/>
      <c r="D224" s="1" t="s">
        <v>348</v>
      </c>
      <c r="E224" s="1">
        <v>9478.9030000000002</v>
      </c>
      <c r="F224" s="1" t="s">
        <v>128</v>
      </c>
    </row>
    <row r="225" spans="2:6" ht="71.25" x14ac:dyDescent="0.45">
      <c r="B225" s="1" t="s">
        <v>295</v>
      </c>
      <c r="C225" s="1"/>
      <c r="D225" s="1" t="s">
        <v>196</v>
      </c>
      <c r="E225" s="1">
        <v>1109.23</v>
      </c>
      <c r="F225" s="1" t="s">
        <v>131</v>
      </c>
    </row>
    <row r="226" spans="2:6" ht="28.5" x14ac:dyDescent="0.45">
      <c r="B226" s="1" t="s">
        <v>296</v>
      </c>
      <c r="C226" s="1"/>
      <c r="D226" s="1" t="s">
        <v>196</v>
      </c>
      <c r="E226" s="1">
        <v>486.59199999999998</v>
      </c>
      <c r="F226" s="1" t="s">
        <v>131</v>
      </c>
    </row>
    <row r="227" spans="2:6" ht="85.5" x14ac:dyDescent="0.45">
      <c r="B227" s="1" t="s">
        <v>297</v>
      </c>
      <c r="C227" s="1"/>
      <c r="D227" s="1" t="s">
        <v>196</v>
      </c>
      <c r="E227" s="1">
        <v>2461.5659999999998</v>
      </c>
      <c r="F227" s="1" t="s">
        <v>131</v>
      </c>
    </row>
    <row r="228" spans="2:6" ht="71.25" x14ac:dyDescent="0.45">
      <c r="B228" s="1" t="s">
        <v>454</v>
      </c>
      <c r="C228" s="1"/>
      <c r="D228" s="1" t="s">
        <v>348</v>
      </c>
      <c r="E228" s="1">
        <v>2054.895</v>
      </c>
      <c r="F228" s="1" t="s">
        <v>131</v>
      </c>
    </row>
    <row r="229" spans="2:6" ht="99.75" x14ac:dyDescent="0.45">
      <c r="B229" s="1" t="s">
        <v>455</v>
      </c>
      <c r="C229" s="1"/>
      <c r="D229" s="1" t="s">
        <v>348</v>
      </c>
      <c r="E229" s="1">
        <v>1784.56</v>
      </c>
      <c r="F229" s="1" t="s">
        <v>131</v>
      </c>
    </row>
    <row r="230" spans="2:6" ht="28.5" x14ac:dyDescent="0.45">
      <c r="B230" s="1" t="s">
        <v>456</v>
      </c>
      <c r="C230" s="1"/>
      <c r="D230" s="1" t="s">
        <v>348</v>
      </c>
      <c r="E230" s="1">
        <v>458.89400000000001</v>
      </c>
      <c r="F230" s="1" t="s">
        <v>131</v>
      </c>
    </row>
    <row r="231" spans="2:6" ht="28.5" x14ac:dyDescent="0.45">
      <c r="B231" s="1" t="s">
        <v>298</v>
      </c>
      <c r="C231" s="1"/>
      <c r="D231" s="1" t="s">
        <v>196</v>
      </c>
      <c r="E231" s="1">
        <v>1330.152</v>
      </c>
      <c r="F231" s="1" t="s">
        <v>135</v>
      </c>
    </row>
    <row r="232" spans="2:6" ht="28.5" x14ac:dyDescent="0.45">
      <c r="B232" s="1" t="s">
        <v>299</v>
      </c>
      <c r="C232" s="1"/>
      <c r="D232" s="1" t="s">
        <v>196</v>
      </c>
      <c r="E232" s="1">
        <v>3206.3440000000001</v>
      </c>
      <c r="F232" s="1" t="s">
        <v>135</v>
      </c>
    </row>
    <row r="233" spans="2:6" ht="28.5" x14ac:dyDescent="0.45">
      <c r="B233" s="1" t="s">
        <v>300</v>
      </c>
      <c r="C233" s="1"/>
      <c r="D233" s="1" t="s">
        <v>196</v>
      </c>
      <c r="E233" s="1">
        <v>3980.7040000000002</v>
      </c>
      <c r="F233" s="1" t="s">
        <v>135</v>
      </c>
    </row>
    <row r="234" spans="2:6" ht="28.5" x14ac:dyDescent="0.45">
      <c r="B234" s="1" t="s">
        <v>301</v>
      </c>
      <c r="C234" s="1"/>
      <c r="D234" s="1" t="s">
        <v>196</v>
      </c>
      <c r="E234" s="1">
        <v>1677.7950000000001</v>
      </c>
      <c r="F234" s="1" t="s">
        <v>135</v>
      </c>
    </row>
    <row r="235" spans="2:6" ht="28.5" x14ac:dyDescent="0.45">
      <c r="B235" s="1" t="s">
        <v>302</v>
      </c>
      <c r="C235" s="1"/>
      <c r="D235" s="1" t="s">
        <v>196</v>
      </c>
      <c r="E235" s="1">
        <v>2129.4169999999999</v>
      </c>
      <c r="F235" s="1" t="s">
        <v>135</v>
      </c>
    </row>
    <row r="236" spans="2:6" ht="28.5" x14ac:dyDescent="0.45">
      <c r="B236" s="1" t="s">
        <v>303</v>
      </c>
      <c r="C236" s="1"/>
      <c r="D236" s="1" t="s">
        <v>196</v>
      </c>
      <c r="E236" s="1">
        <v>171.37200000000001</v>
      </c>
      <c r="F236" s="1" t="s">
        <v>135</v>
      </c>
    </row>
    <row r="237" spans="2:6" ht="28.5" x14ac:dyDescent="0.45">
      <c r="B237" s="1" t="s">
        <v>304</v>
      </c>
      <c r="C237" s="1"/>
      <c r="D237" s="1" t="s">
        <v>196</v>
      </c>
      <c r="E237" s="1">
        <v>1475.4349999999999</v>
      </c>
      <c r="F237" s="1" t="s">
        <v>135</v>
      </c>
    </row>
    <row r="238" spans="2:6" ht="28.5" x14ac:dyDescent="0.45">
      <c r="B238" s="1" t="s">
        <v>305</v>
      </c>
      <c r="C238" s="1"/>
      <c r="D238" s="1" t="s">
        <v>196</v>
      </c>
      <c r="E238" s="1">
        <v>3321.4949999999999</v>
      </c>
      <c r="F238" s="1" t="s">
        <v>135</v>
      </c>
    </row>
    <row r="239" spans="2:6" ht="28.5" x14ac:dyDescent="0.45">
      <c r="B239" s="1" t="s">
        <v>306</v>
      </c>
      <c r="C239" s="1"/>
      <c r="D239" s="1" t="s">
        <v>196</v>
      </c>
      <c r="E239" s="1">
        <v>275.93299999999999</v>
      </c>
      <c r="F239" s="1" t="s">
        <v>135</v>
      </c>
    </row>
    <row r="240" spans="2:6" ht="28.5" x14ac:dyDescent="0.45">
      <c r="B240" s="1" t="s">
        <v>307</v>
      </c>
      <c r="C240" s="1"/>
      <c r="D240" s="1" t="s">
        <v>196</v>
      </c>
      <c r="E240" s="1">
        <v>105.002</v>
      </c>
      <c r="F240" s="1" t="s">
        <v>135</v>
      </c>
    </row>
    <row r="241" spans="2:6" ht="28.5" x14ac:dyDescent="0.45">
      <c r="B241" s="1" t="s">
        <v>457</v>
      </c>
      <c r="C241" s="1"/>
      <c r="D241" s="1" t="s">
        <v>348</v>
      </c>
      <c r="E241" s="1">
        <v>252.70599999999999</v>
      </c>
      <c r="F241" s="1" t="s">
        <v>135</v>
      </c>
    </row>
    <row r="242" spans="2:6" ht="28.5" x14ac:dyDescent="0.45">
      <c r="B242" s="1" t="s">
        <v>458</v>
      </c>
      <c r="C242" s="1"/>
      <c r="D242" s="1" t="s">
        <v>348</v>
      </c>
      <c r="E242" s="1">
        <v>406.45600000000002</v>
      </c>
      <c r="F242" s="1" t="s">
        <v>135</v>
      </c>
    </row>
    <row r="243" spans="2:6" ht="28.5" x14ac:dyDescent="0.45">
      <c r="B243" s="1" t="s">
        <v>459</v>
      </c>
      <c r="C243" s="1"/>
      <c r="D243" s="1" t="s">
        <v>348</v>
      </c>
      <c r="E243" s="1">
        <v>133.32499999999999</v>
      </c>
      <c r="F243" s="1" t="s">
        <v>135</v>
      </c>
    </row>
    <row r="244" spans="2:6" ht="28.5" x14ac:dyDescent="0.45">
      <c r="B244" s="1" t="s">
        <v>460</v>
      </c>
      <c r="C244" s="1"/>
      <c r="D244" s="1" t="s">
        <v>348</v>
      </c>
      <c r="E244" s="1">
        <v>540.05499999999995</v>
      </c>
      <c r="F244" s="1" t="s">
        <v>135</v>
      </c>
    </row>
    <row r="245" spans="2:6" ht="28.5" x14ac:dyDescent="0.45">
      <c r="B245" s="1" t="s">
        <v>461</v>
      </c>
      <c r="C245" s="1"/>
      <c r="D245" s="1" t="s">
        <v>348</v>
      </c>
      <c r="E245" s="1">
        <v>478.56</v>
      </c>
      <c r="F245" s="1" t="s">
        <v>135</v>
      </c>
    </row>
    <row r="246" spans="2:6" ht="28.5" x14ac:dyDescent="0.45">
      <c r="B246" s="1" t="s">
        <v>462</v>
      </c>
      <c r="C246" s="1"/>
      <c r="D246" s="1" t="s">
        <v>348</v>
      </c>
      <c r="E246" s="1">
        <v>354.53199999999998</v>
      </c>
      <c r="F246" s="1" t="s">
        <v>135</v>
      </c>
    </row>
    <row r="247" spans="2:6" ht="28.5" x14ac:dyDescent="0.45">
      <c r="B247" s="1" t="s">
        <v>463</v>
      </c>
      <c r="C247" s="1"/>
      <c r="D247" s="1" t="s">
        <v>348</v>
      </c>
      <c r="E247" s="1">
        <v>247.05</v>
      </c>
      <c r="F247" s="1" t="s">
        <v>135</v>
      </c>
    </row>
    <row r="248" spans="2:6" ht="28.5" x14ac:dyDescent="0.45">
      <c r="B248" s="1" t="s">
        <v>464</v>
      </c>
      <c r="C248" s="1"/>
      <c r="D248" s="1" t="s">
        <v>348</v>
      </c>
      <c r="E248" s="1">
        <v>751.05899999999997</v>
      </c>
      <c r="F248" s="1" t="s">
        <v>135</v>
      </c>
    </row>
    <row r="249" spans="2:6" ht="28.5" x14ac:dyDescent="0.45">
      <c r="B249" s="1" t="s">
        <v>465</v>
      </c>
      <c r="C249" s="1"/>
      <c r="D249" s="1" t="s">
        <v>348</v>
      </c>
      <c r="E249" s="1">
        <v>334.57799999999997</v>
      </c>
      <c r="F249" s="1" t="s">
        <v>135</v>
      </c>
    </row>
    <row r="250" spans="2:6" ht="28.5" x14ac:dyDescent="0.45">
      <c r="B250" s="1" t="s">
        <v>466</v>
      </c>
      <c r="C250" s="1"/>
      <c r="D250" s="1" t="s">
        <v>348</v>
      </c>
      <c r="E250" s="1">
        <v>828.26900000000001</v>
      </c>
      <c r="F250" s="1" t="s">
        <v>135</v>
      </c>
    </row>
    <row r="251" spans="2:6" ht="28.5" x14ac:dyDescent="0.45">
      <c r="B251" s="1" t="s">
        <v>467</v>
      </c>
      <c r="C251" s="1"/>
      <c r="D251" s="1" t="s">
        <v>348</v>
      </c>
      <c r="E251" s="1">
        <v>840.71500000000003</v>
      </c>
      <c r="F251" s="1" t="s">
        <v>135</v>
      </c>
    </row>
    <row r="252" spans="2:6" ht="28.5" x14ac:dyDescent="0.45">
      <c r="B252" s="1" t="s">
        <v>468</v>
      </c>
      <c r="C252" s="1"/>
      <c r="D252" s="1" t="s">
        <v>348</v>
      </c>
      <c r="E252" s="1">
        <v>404.73700000000002</v>
      </c>
      <c r="F252" s="1" t="s">
        <v>135</v>
      </c>
    </row>
    <row r="253" spans="2:6" ht="28.5" x14ac:dyDescent="0.45">
      <c r="B253" s="1" t="s">
        <v>308</v>
      </c>
      <c r="C253" s="1"/>
      <c r="D253" s="1" t="s">
        <v>196</v>
      </c>
      <c r="E253" s="1">
        <v>41.353000000000002</v>
      </c>
      <c r="F253" s="1" t="s">
        <v>148</v>
      </c>
    </row>
    <row r="254" spans="2:6" ht="28.5" x14ac:dyDescent="0.45">
      <c r="B254" s="1" t="s">
        <v>309</v>
      </c>
      <c r="C254" s="1"/>
      <c r="D254" s="1" t="s">
        <v>196</v>
      </c>
      <c r="E254" s="1">
        <v>117.73</v>
      </c>
      <c r="F254" s="1" t="s">
        <v>148</v>
      </c>
    </row>
    <row r="255" spans="2:6" ht="28.5" x14ac:dyDescent="0.45">
      <c r="B255" s="1" t="s">
        <v>310</v>
      </c>
      <c r="C255" s="1"/>
      <c r="D255" s="1" t="s">
        <v>196</v>
      </c>
      <c r="E255" s="1">
        <v>85.129000000000005</v>
      </c>
      <c r="F255" s="1" t="s">
        <v>148</v>
      </c>
    </row>
    <row r="256" spans="2:6" ht="28.5" x14ac:dyDescent="0.45">
      <c r="B256" s="1" t="s">
        <v>311</v>
      </c>
      <c r="C256" s="1"/>
      <c r="D256" s="1" t="s">
        <v>196</v>
      </c>
      <c r="E256" s="1">
        <v>45.997999999999998</v>
      </c>
      <c r="F256" s="1" t="s">
        <v>148</v>
      </c>
    </row>
    <row r="257" spans="2:6" ht="28.5" x14ac:dyDescent="0.45">
      <c r="B257" s="1" t="s">
        <v>312</v>
      </c>
      <c r="C257" s="1"/>
      <c r="D257" s="1" t="s">
        <v>196</v>
      </c>
      <c r="E257" s="1">
        <v>111.429</v>
      </c>
      <c r="F257" s="1" t="s">
        <v>148</v>
      </c>
    </row>
    <row r="258" spans="2:6" ht="28.5" x14ac:dyDescent="0.45">
      <c r="B258" s="1" t="s">
        <v>313</v>
      </c>
      <c r="C258" s="1"/>
      <c r="D258" s="1" t="s">
        <v>196</v>
      </c>
      <c r="E258" s="1">
        <v>91.992999999999995</v>
      </c>
      <c r="F258" s="1" t="s">
        <v>148</v>
      </c>
    </row>
    <row r="259" spans="2:6" ht="42.75" x14ac:dyDescent="0.45">
      <c r="B259" s="1" t="s">
        <v>314</v>
      </c>
      <c r="C259" s="1"/>
      <c r="D259" s="1" t="s">
        <v>196</v>
      </c>
      <c r="E259" s="1">
        <v>112.83199999999999</v>
      </c>
      <c r="F259" s="1" t="s">
        <v>148</v>
      </c>
    </row>
    <row r="260" spans="2:6" ht="28.5" x14ac:dyDescent="0.45">
      <c r="B260" s="1" t="s">
        <v>315</v>
      </c>
      <c r="C260" s="1"/>
      <c r="D260" s="1" t="s">
        <v>196</v>
      </c>
      <c r="E260" s="1">
        <v>377.23599999999999</v>
      </c>
      <c r="F260" s="1" t="s">
        <v>148</v>
      </c>
    </row>
    <row r="261" spans="2:6" ht="28.5" x14ac:dyDescent="0.45">
      <c r="B261" s="1" t="s">
        <v>316</v>
      </c>
      <c r="C261" s="1"/>
      <c r="D261" s="1" t="s">
        <v>196</v>
      </c>
      <c r="E261" s="1">
        <v>91.248000000000005</v>
      </c>
      <c r="F261" s="1" t="s">
        <v>148</v>
      </c>
    </row>
    <row r="262" spans="2:6" ht="28.5" x14ac:dyDescent="0.45">
      <c r="B262" s="1" t="s">
        <v>317</v>
      </c>
      <c r="C262" s="1"/>
      <c r="D262" s="1" t="s">
        <v>196</v>
      </c>
      <c r="E262" s="1">
        <v>125.94799999999999</v>
      </c>
      <c r="F262" s="1" t="s">
        <v>148</v>
      </c>
    </row>
    <row r="263" spans="2:6" ht="28.5" x14ac:dyDescent="0.45">
      <c r="B263" s="1" t="s">
        <v>318</v>
      </c>
      <c r="C263" s="1"/>
      <c r="D263" s="1" t="s">
        <v>196</v>
      </c>
      <c r="E263" s="1">
        <v>81.091999999999999</v>
      </c>
      <c r="F263" s="1" t="s">
        <v>148</v>
      </c>
    </row>
    <row r="264" spans="2:6" ht="28.5" x14ac:dyDescent="0.45">
      <c r="B264" s="1" t="s">
        <v>319</v>
      </c>
      <c r="C264" s="1"/>
      <c r="D264" s="1" t="s">
        <v>196</v>
      </c>
      <c r="E264" s="1">
        <v>139.49199999999999</v>
      </c>
      <c r="F264" s="1" t="s">
        <v>148</v>
      </c>
    </row>
    <row r="265" spans="2:6" ht="28.5" x14ac:dyDescent="0.45">
      <c r="B265" s="1" t="s">
        <v>320</v>
      </c>
      <c r="C265" s="1"/>
      <c r="D265" s="1" t="s">
        <v>196</v>
      </c>
      <c r="E265" s="1">
        <v>199.25800000000001</v>
      </c>
      <c r="F265" s="1" t="s">
        <v>148</v>
      </c>
    </row>
    <row r="266" spans="2:6" ht="28.5" x14ac:dyDescent="0.45">
      <c r="B266" s="1" t="s">
        <v>321</v>
      </c>
      <c r="C266" s="1"/>
      <c r="D266" s="1" t="s">
        <v>196</v>
      </c>
      <c r="E266" s="1">
        <v>209.727</v>
      </c>
      <c r="F266" s="1" t="s">
        <v>148</v>
      </c>
    </row>
    <row r="267" spans="2:6" ht="28.5" x14ac:dyDescent="0.45">
      <c r="B267" s="1" t="s">
        <v>322</v>
      </c>
      <c r="C267" s="1"/>
      <c r="D267" s="1" t="s">
        <v>196</v>
      </c>
      <c r="E267" s="1">
        <v>233.886</v>
      </c>
      <c r="F267" s="1" t="s">
        <v>148</v>
      </c>
    </row>
    <row r="268" spans="2:6" ht="28.5" x14ac:dyDescent="0.45">
      <c r="B268" s="1" t="s">
        <v>323</v>
      </c>
      <c r="C268" s="1"/>
      <c r="D268" s="1" t="s">
        <v>196</v>
      </c>
      <c r="E268" s="1">
        <v>81.947000000000003</v>
      </c>
      <c r="F268" s="1" t="s">
        <v>148</v>
      </c>
    </row>
    <row r="269" spans="2:6" ht="28.5" x14ac:dyDescent="0.45">
      <c r="B269" s="1" t="s">
        <v>324</v>
      </c>
      <c r="C269" s="1"/>
      <c r="D269" s="1" t="s">
        <v>196</v>
      </c>
      <c r="E269" s="1">
        <v>390.69900000000001</v>
      </c>
      <c r="F269" s="1" t="s">
        <v>148</v>
      </c>
    </row>
    <row r="270" spans="2:6" ht="114" x14ac:dyDescent="0.45">
      <c r="B270" s="1" t="s">
        <v>325</v>
      </c>
      <c r="C270" s="1"/>
      <c r="D270" s="1" t="s">
        <v>196</v>
      </c>
      <c r="E270" s="1">
        <v>2367.1129999999998</v>
      </c>
      <c r="F270" s="1" t="s">
        <v>148</v>
      </c>
    </row>
    <row r="271" spans="2:6" ht="42.75" x14ac:dyDescent="0.45">
      <c r="B271" s="1" t="s">
        <v>469</v>
      </c>
      <c r="C271" s="1"/>
      <c r="D271" s="1" t="s">
        <v>348</v>
      </c>
      <c r="E271" s="1">
        <v>2772.98</v>
      </c>
      <c r="F271" s="1" t="s">
        <v>148</v>
      </c>
    </row>
    <row r="272" spans="2:6" ht="28.5" x14ac:dyDescent="0.45">
      <c r="B272" s="1" t="s">
        <v>470</v>
      </c>
      <c r="C272" s="1"/>
      <c r="D272" s="1" t="s">
        <v>348</v>
      </c>
      <c r="E272" s="1">
        <v>843.80399999999997</v>
      </c>
      <c r="F272" s="1" t="s">
        <v>148</v>
      </c>
    </row>
    <row r="273" spans="2:6" ht="28.5" x14ac:dyDescent="0.45">
      <c r="B273" s="1" t="s">
        <v>471</v>
      </c>
      <c r="C273" s="1"/>
      <c r="D273" s="1" t="s">
        <v>348</v>
      </c>
      <c r="E273" s="1">
        <v>283.66399999999999</v>
      </c>
      <c r="F273" s="1" t="s">
        <v>148</v>
      </c>
    </row>
    <row r="274" spans="2:6" ht="28.5" x14ac:dyDescent="0.45">
      <c r="B274" s="1" t="s">
        <v>472</v>
      </c>
      <c r="C274" s="1"/>
      <c r="D274" s="1" t="s">
        <v>348</v>
      </c>
      <c r="E274" s="1">
        <v>204.08099999999999</v>
      </c>
      <c r="F274" s="1" t="s">
        <v>148</v>
      </c>
    </row>
    <row r="275" spans="2:6" ht="28.5" x14ac:dyDescent="0.45">
      <c r="B275" s="1" t="s">
        <v>473</v>
      </c>
      <c r="C275" s="1"/>
      <c r="D275" s="1" t="s">
        <v>348</v>
      </c>
      <c r="E275" s="1">
        <v>184.15299999999999</v>
      </c>
      <c r="F275" s="1" t="s">
        <v>148</v>
      </c>
    </row>
    <row r="276" spans="2:6" ht="28.5" x14ac:dyDescent="0.45">
      <c r="B276" s="1" t="s">
        <v>474</v>
      </c>
      <c r="C276" s="1"/>
      <c r="D276" s="1" t="s">
        <v>348</v>
      </c>
      <c r="E276" s="1">
        <v>99.66</v>
      </c>
      <c r="F276" s="1" t="s">
        <v>148</v>
      </c>
    </row>
    <row r="277" spans="2:6" ht="28.5" x14ac:dyDescent="0.45">
      <c r="B277" s="1" t="s">
        <v>475</v>
      </c>
      <c r="C277" s="1"/>
      <c r="D277" s="1" t="s">
        <v>348</v>
      </c>
      <c r="E277" s="1">
        <v>142.297</v>
      </c>
      <c r="F277" s="1" t="s">
        <v>148</v>
      </c>
    </row>
    <row r="278" spans="2:6" ht="28.5" x14ac:dyDescent="0.45">
      <c r="B278" s="1" t="s">
        <v>476</v>
      </c>
      <c r="C278" s="1"/>
      <c r="D278" s="1" t="s">
        <v>348</v>
      </c>
      <c r="E278" s="1">
        <v>122.715</v>
      </c>
      <c r="F278" s="1" t="s">
        <v>148</v>
      </c>
    </row>
    <row r="279" spans="2:6" ht="28.5" x14ac:dyDescent="0.45">
      <c r="B279" s="1" t="s">
        <v>477</v>
      </c>
      <c r="C279" s="1"/>
      <c r="D279" s="1" t="s">
        <v>348</v>
      </c>
      <c r="E279" s="1">
        <v>257.846</v>
      </c>
      <c r="F279" s="1" t="s">
        <v>148</v>
      </c>
    </row>
    <row r="280" spans="2:6" ht="28.5" x14ac:dyDescent="0.45">
      <c r="B280" s="1" t="s">
        <v>478</v>
      </c>
      <c r="C280" s="1"/>
      <c r="D280" s="1" t="s">
        <v>348</v>
      </c>
      <c r="E280" s="1">
        <v>414.70100000000002</v>
      </c>
      <c r="F280" s="1" t="s">
        <v>148</v>
      </c>
    </row>
    <row r="281" spans="2:6" ht="28.5" x14ac:dyDescent="0.45">
      <c r="B281" s="1" t="s">
        <v>479</v>
      </c>
      <c r="C281" s="1"/>
      <c r="D281" s="1" t="s">
        <v>348</v>
      </c>
      <c r="E281" s="1">
        <v>206.392</v>
      </c>
      <c r="F281" s="1" t="s">
        <v>148</v>
      </c>
    </row>
    <row r="282" spans="2:6" ht="28.5" x14ac:dyDescent="0.45">
      <c r="B282" s="1" t="s">
        <v>480</v>
      </c>
      <c r="C282" s="1"/>
      <c r="D282" s="1" t="s">
        <v>348</v>
      </c>
      <c r="E282" s="1">
        <v>216.495</v>
      </c>
      <c r="F282" s="1" t="s">
        <v>148</v>
      </c>
    </row>
    <row r="283" spans="2:6" ht="28.5" x14ac:dyDescent="0.45">
      <c r="B283" s="1" t="s">
        <v>481</v>
      </c>
      <c r="C283" s="1"/>
      <c r="D283" s="1" t="s">
        <v>348</v>
      </c>
      <c r="E283" s="1">
        <v>247.958</v>
      </c>
      <c r="F283" s="1" t="s">
        <v>148</v>
      </c>
    </row>
    <row r="284" spans="2:6" ht="28.5" x14ac:dyDescent="0.45">
      <c r="B284" s="1" t="s">
        <v>482</v>
      </c>
      <c r="C284" s="1"/>
      <c r="D284" s="1" t="s">
        <v>348</v>
      </c>
      <c r="E284" s="1">
        <v>315.572</v>
      </c>
      <c r="F284" s="1" t="s">
        <v>148</v>
      </c>
    </row>
    <row r="285" spans="2:6" ht="28.5" x14ac:dyDescent="0.45">
      <c r="B285" s="1" t="s">
        <v>483</v>
      </c>
      <c r="C285" s="1"/>
      <c r="D285" s="1" t="s">
        <v>348</v>
      </c>
      <c r="E285" s="1">
        <v>295.87299999999999</v>
      </c>
      <c r="F285" s="1" t="s">
        <v>148</v>
      </c>
    </row>
    <row r="286" spans="2:6" ht="28.5" x14ac:dyDescent="0.45">
      <c r="B286" s="1" t="s">
        <v>484</v>
      </c>
      <c r="C286" s="1"/>
      <c r="D286" s="1" t="s">
        <v>348</v>
      </c>
      <c r="E286" s="1">
        <v>724.90300000000002</v>
      </c>
      <c r="F286" s="1" t="s">
        <v>148</v>
      </c>
    </row>
    <row r="287" spans="2:6" ht="28.5" x14ac:dyDescent="0.45">
      <c r="B287" s="1" t="s">
        <v>485</v>
      </c>
      <c r="C287" s="1"/>
      <c r="D287" s="1" t="s">
        <v>348</v>
      </c>
      <c r="E287" s="1">
        <v>818.07600000000002</v>
      </c>
      <c r="F287" s="1" t="s">
        <v>148</v>
      </c>
    </row>
    <row r="288" spans="2:6" ht="28.5" x14ac:dyDescent="0.45">
      <c r="B288" s="1" t="s">
        <v>486</v>
      </c>
      <c r="C288" s="1"/>
      <c r="D288" s="1" t="s">
        <v>348</v>
      </c>
      <c r="E288" s="1">
        <v>93.972999999999999</v>
      </c>
      <c r="F288" s="1" t="s">
        <v>148</v>
      </c>
    </row>
    <row r="289" spans="2:6" ht="28.5" x14ac:dyDescent="0.45">
      <c r="B289" s="1" t="s">
        <v>326</v>
      </c>
      <c r="C289" s="1"/>
      <c r="D289" s="1" t="s">
        <v>196</v>
      </c>
      <c r="E289" s="1">
        <v>551.61800000000005</v>
      </c>
      <c r="F289" s="1" t="s">
        <v>167</v>
      </c>
    </row>
    <row r="290" spans="2:6" ht="28.5" x14ac:dyDescent="0.45">
      <c r="B290" s="1" t="s">
        <v>327</v>
      </c>
      <c r="C290" s="1"/>
      <c r="D290" s="1" t="s">
        <v>196</v>
      </c>
      <c r="E290" s="1">
        <v>589.34400000000005</v>
      </c>
      <c r="F290" s="1" t="s">
        <v>167</v>
      </c>
    </row>
    <row r="291" spans="2:6" ht="28.5" x14ac:dyDescent="0.45">
      <c r="B291" s="1" t="s">
        <v>328</v>
      </c>
      <c r="C291" s="1"/>
      <c r="D291" s="1" t="s">
        <v>196</v>
      </c>
      <c r="E291" s="1">
        <v>712.39499999999998</v>
      </c>
      <c r="F291" s="1" t="s">
        <v>167</v>
      </c>
    </row>
    <row r="292" spans="2:6" ht="28.5" x14ac:dyDescent="0.45">
      <c r="B292" s="1" t="s">
        <v>329</v>
      </c>
      <c r="C292" s="1"/>
      <c r="D292" s="1" t="s">
        <v>196</v>
      </c>
      <c r="E292" s="1">
        <v>107.544</v>
      </c>
      <c r="F292" s="1" t="s">
        <v>167</v>
      </c>
    </row>
    <row r="293" spans="2:6" ht="28.5" x14ac:dyDescent="0.45">
      <c r="B293" s="1" t="s">
        <v>330</v>
      </c>
      <c r="C293" s="1"/>
      <c r="D293" s="1" t="s">
        <v>196</v>
      </c>
      <c r="E293" s="1">
        <v>272.86099999999999</v>
      </c>
      <c r="F293" s="1" t="s">
        <v>167</v>
      </c>
    </row>
    <row r="294" spans="2:6" ht="28.5" x14ac:dyDescent="0.45">
      <c r="B294" s="1" t="s">
        <v>331</v>
      </c>
      <c r="C294" s="1"/>
      <c r="D294" s="1" t="s">
        <v>196</v>
      </c>
      <c r="E294" s="1">
        <v>127.26900000000001</v>
      </c>
      <c r="F294" s="1" t="s">
        <v>167</v>
      </c>
    </row>
    <row r="295" spans="2:6" ht="28.5" x14ac:dyDescent="0.45">
      <c r="B295" s="1" t="s">
        <v>332</v>
      </c>
      <c r="C295" s="1"/>
      <c r="D295" s="1" t="s">
        <v>196</v>
      </c>
      <c r="E295" s="1">
        <v>98.424999999999997</v>
      </c>
      <c r="F295" s="1" t="s">
        <v>167</v>
      </c>
    </row>
    <row r="296" spans="2:6" ht="28.5" x14ac:dyDescent="0.45">
      <c r="B296" s="1" t="s">
        <v>333</v>
      </c>
      <c r="C296" s="1"/>
      <c r="D296" s="1" t="s">
        <v>196</v>
      </c>
      <c r="E296" s="1">
        <v>92.253</v>
      </c>
      <c r="F296" s="1" t="s">
        <v>167</v>
      </c>
    </row>
    <row r="297" spans="2:6" ht="28.5" x14ac:dyDescent="0.45">
      <c r="B297" s="1" t="s">
        <v>334</v>
      </c>
      <c r="C297" s="1"/>
      <c r="D297" s="1" t="s">
        <v>196</v>
      </c>
      <c r="E297" s="1">
        <v>96.397000000000006</v>
      </c>
      <c r="F297" s="1" t="s">
        <v>167</v>
      </c>
    </row>
    <row r="298" spans="2:6" ht="28.5" x14ac:dyDescent="0.45">
      <c r="B298" s="1" t="s">
        <v>335</v>
      </c>
      <c r="C298" s="1"/>
      <c r="D298" s="1" t="s">
        <v>196</v>
      </c>
      <c r="E298" s="1">
        <v>2450.8690000000001</v>
      </c>
      <c r="F298" s="1" t="s">
        <v>167</v>
      </c>
    </row>
    <row r="299" spans="2:6" ht="28.5" x14ac:dyDescent="0.45">
      <c r="B299" s="1" t="s">
        <v>336</v>
      </c>
      <c r="C299" s="1"/>
      <c r="D299" s="1" t="s">
        <v>196</v>
      </c>
      <c r="E299" s="1">
        <v>2789.6770000000001</v>
      </c>
      <c r="F299" s="1" t="s">
        <v>167</v>
      </c>
    </row>
    <row r="300" spans="2:6" ht="28.5" x14ac:dyDescent="0.45">
      <c r="B300" s="1" t="s">
        <v>337</v>
      </c>
      <c r="C300" s="1"/>
      <c r="D300" s="1" t="s">
        <v>196</v>
      </c>
      <c r="E300" s="1">
        <v>3280.2350000000001</v>
      </c>
      <c r="F300" s="1" t="s">
        <v>167</v>
      </c>
    </row>
    <row r="301" spans="2:6" ht="28.5" x14ac:dyDescent="0.45">
      <c r="B301" s="1" t="s">
        <v>338</v>
      </c>
      <c r="C301" s="1"/>
      <c r="D301" s="1" t="s">
        <v>196</v>
      </c>
      <c r="E301" s="1">
        <v>247.958</v>
      </c>
      <c r="F301" s="1" t="s">
        <v>167</v>
      </c>
    </row>
    <row r="302" spans="2:6" ht="28.5" x14ac:dyDescent="0.45">
      <c r="B302" s="1" t="s">
        <v>339</v>
      </c>
      <c r="C302" s="1"/>
      <c r="D302" s="1" t="s">
        <v>196</v>
      </c>
      <c r="E302" s="1">
        <v>154.11000000000001</v>
      </c>
      <c r="F302" s="1" t="s">
        <v>167</v>
      </c>
    </row>
    <row r="303" spans="2:6" ht="28.5" x14ac:dyDescent="0.45">
      <c r="B303" s="1" t="s">
        <v>487</v>
      </c>
      <c r="C303" s="1"/>
      <c r="D303" s="1" t="s">
        <v>348</v>
      </c>
      <c r="E303" s="1">
        <v>87.667000000000002</v>
      </c>
      <c r="F303" s="1" t="s">
        <v>167</v>
      </c>
    </row>
    <row r="304" spans="2:6" ht="28.5" x14ac:dyDescent="0.45">
      <c r="B304" s="1" t="s">
        <v>488</v>
      </c>
      <c r="C304" s="1"/>
      <c r="D304" s="1" t="s">
        <v>348</v>
      </c>
      <c r="E304" s="1">
        <v>224.649</v>
      </c>
      <c r="F304" s="1" t="s">
        <v>167</v>
      </c>
    </row>
    <row r="305" spans="2:6" ht="28.5" x14ac:dyDescent="0.45">
      <c r="B305" s="1" t="s">
        <v>489</v>
      </c>
      <c r="C305" s="1"/>
      <c r="D305" s="1" t="s">
        <v>348</v>
      </c>
      <c r="E305" s="1">
        <v>244.27600000000001</v>
      </c>
      <c r="F305" s="1" t="s">
        <v>167</v>
      </c>
    </row>
    <row r="306" spans="2:6" ht="28.5" x14ac:dyDescent="0.45">
      <c r="B306" s="1" t="s">
        <v>490</v>
      </c>
      <c r="C306" s="1"/>
      <c r="D306" s="1" t="s">
        <v>348</v>
      </c>
      <c r="E306" s="1">
        <v>77.126999999999995</v>
      </c>
      <c r="F306" s="1" t="s">
        <v>167</v>
      </c>
    </row>
    <row r="307" spans="2:6" ht="28.5" x14ac:dyDescent="0.45">
      <c r="B307" s="1" t="s">
        <v>491</v>
      </c>
      <c r="C307" s="1"/>
      <c r="D307" s="1" t="s">
        <v>348</v>
      </c>
      <c r="E307" s="1">
        <v>141.71700000000001</v>
      </c>
      <c r="F307" s="1" t="s">
        <v>167</v>
      </c>
    </row>
    <row r="308" spans="2:6" ht="28.5" x14ac:dyDescent="0.45">
      <c r="B308" s="1" t="s">
        <v>492</v>
      </c>
      <c r="C308" s="1"/>
      <c r="D308" s="1" t="s">
        <v>348</v>
      </c>
      <c r="E308" s="1">
        <v>216.96199999999999</v>
      </c>
      <c r="F308" s="1" t="s">
        <v>167</v>
      </c>
    </row>
    <row r="309" spans="2:6" ht="28.5" x14ac:dyDescent="0.45">
      <c r="B309" s="1" t="s">
        <v>493</v>
      </c>
      <c r="C309" s="1"/>
      <c r="D309" s="1" t="s">
        <v>348</v>
      </c>
      <c r="E309" s="1">
        <v>328.13</v>
      </c>
      <c r="F309" s="1" t="s">
        <v>167</v>
      </c>
    </row>
    <row r="310" spans="2:6" ht="28.5" x14ac:dyDescent="0.45">
      <c r="B310" s="1" t="s">
        <v>494</v>
      </c>
      <c r="C310" s="1"/>
      <c r="D310" s="1" t="s">
        <v>348</v>
      </c>
      <c r="E310" s="1">
        <v>189.47200000000001</v>
      </c>
      <c r="F310" s="1" t="s">
        <v>167</v>
      </c>
    </row>
    <row r="311" spans="2:6" ht="42.75" x14ac:dyDescent="0.45">
      <c r="B311" s="1" t="s">
        <v>495</v>
      </c>
      <c r="C311" s="1"/>
      <c r="D311" s="1" t="s">
        <v>348</v>
      </c>
      <c r="E311" s="1">
        <v>117.08</v>
      </c>
      <c r="F311" s="1" t="s">
        <v>167</v>
      </c>
    </row>
    <row r="312" spans="2:6" ht="28.5" x14ac:dyDescent="0.45">
      <c r="B312" s="1" t="s">
        <v>496</v>
      </c>
      <c r="C312" s="1"/>
      <c r="D312" s="1" t="s">
        <v>348</v>
      </c>
      <c r="E312" s="1">
        <v>437.27199999999999</v>
      </c>
      <c r="F312" s="1" t="s">
        <v>167</v>
      </c>
    </row>
    <row r="313" spans="2:6" ht="28.5" x14ac:dyDescent="0.45">
      <c r="B313" s="1" t="s">
        <v>497</v>
      </c>
      <c r="C313" s="1"/>
      <c r="D313" s="1" t="s">
        <v>348</v>
      </c>
      <c r="E313" s="1">
        <v>236.702</v>
      </c>
      <c r="F313" s="1" t="s">
        <v>167</v>
      </c>
    </row>
    <row r="314" spans="2:6" ht="28.5" x14ac:dyDescent="0.45">
      <c r="B314" s="1" t="s">
        <v>498</v>
      </c>
      <c r="C314" s="1"/>
      <c r="D314" s="1" t="s">
        <v>348</v>
      </c>
      <c r="E314" s="1">
        <v>664.29200000000003</v>
      </c>
      <c r="F314" s="1" t="s">
        <v>167</v>
      </c>
    </row>
    <row r="315" spans="2:6" ht="28.5" x14ac:dyDescent="0.45">
      <c r="B315" s="1" t="s">
        <v>499</v>
      </c>
      <c r="C315" s="1"/>
      <c r="D315" s="1" t="s">
        <v>348</v>
      </c>
      <c r="E315" s="1">
        <v>840.11</v>
      </c>
      <c r="F315" s="1" t="s">
        <v>167</v>
      </c>
    </row>
    <row r="316" spans="2:6" ht="28.5" x14ac:dyDescent="0.45">
      <c r="B316" s="1" t="s">
        <v>500</v>
      </c>
      <c r="C316" s="1"/>
      <c r="D316" s="1" t="s">
        <v>348</v>
      </c>
      <c r="E316" s="1">
        <v>89.947999999999993</v>
      </c>
      <c r="F316" s="1" t="s">
        <v>167</v>
      </c>
    </row>
    <row r="317" spans="2:6" ht="28.5" x14ac:dyDescent="0.45">
      <c r="B317" s="1" t="s">
        <v>501</v>
      </c>
      <c r="C317" s="1"/>
      <c r="D317" s="1" t="s">
        <v>348</v>
      </c>
      <c r="E317" s="1">
        <v>103.76600000000001</v>
      </c>
      <c r="F317" s="1" t="s">
        <v>167</v>
      </c>
    </row>
  </sheetData>
  <autoFilter ref="B3:F3" xr:uid="{1789183A-9435-4D5C-A8EF-9FDB40D6DEA3}">
    <sortState xmlns:xlrd2="http://schemas.microsoft.com/office/spreadsheetml/2017/richdata2" ref="B4:F317">
      <sortCondition ref="F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Pits Bounding Box Properties</vt:lpstr>
      <vt:lpstr>Sheet2</vt:lpstr>
      <vt:lpstr>Summary Collapsed Vs Non Collap</vt:lpstr>
      <vt:lpstr>Lava Tube Proj 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Prasad</dc:creator>
  <cp:lastModifiedBy>Pallavi Prasad</cp:lastModifiedBy>
  <dcterms:created xsi:type="dcterms:W3CDTF">2026-03-22T17:47:26Z</dcterms:created>
  <dcterms:modified xsi:type="dcterms:W3CDTF">2026-03-22T22:26:38Z</dcterms:modified>
</cp:coreProperties>
</file>